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DA\Projects\Excel\"/>
    </mc:Choice>
  </mc:AlternateContent>
  <xr:revisionPtr revIDLastSave="0" documentId="13_ncr:1_{741FC9C5-0D68-47BA-BF40-CAE352A7EE8E}" xr6:coauthVersionLast="47" xr6:coauthVersionMax="47" xr10:uidLastSave="{00000000-0000-0000-0000-000000000000}"/>
  <bookViews>
    <workbookView xWindow="-120" yWindow="-120" windowWidth="20730" windowHeight="11160" activeTab="3" xr2:uid="{A1CF31A1-743B-4322-8CB4-90724CC0EE5D}"/>
  </bookViews>
  <sheets>
    <sheet name="Dataset" sheetId="1" r:id="rId1"/>
    <sheet name="Pivot" sheetId="4" r:id="rId2"/>
    <sheet name="Process" sheetId="3" r:id="rId3"/>
    <sheet name="Dashboard" sheetId="5" r:id="rId4"/>
  </sheets>
  <definedNames>
    <definedName name="Slicer_Departments">#N/A</definedName>
    <definedName name="Slicer_Name_Month">#N/A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7" i="3" l="1"/>
  <c r="AR17" i="3"/>
  <c r="AP17" i="3"/>
  <c r="AM17" i="3"/>
  <c r="AJ25" i="3"/>
  <c r="AI25" i="3"/>
  <c r="AQ25" i="3"/>
  <c r="AP25" i="3"/>
  <c r="AN27" i="3"/>
  <c r="AN28" i="3"/>
  <c r="AN29" i="3"/>
  <c r="AN30" i="3"/>
  <c r="AN31" i="3"/>
  <c r="AN26" i="3"/>
  <c r="AG27" i="3"/>
  <c r="AG28" i="3"/>
  <c r="AG29" i="3"/>
  <c r="AG30" i="3"/>
  <c r="AG31" i="3"/>
  <c r="AG26" i="3"/>
  <c r="AG18" i="3"/>
  <c r="AF26" i="3" l="1"/>
  <c r="Z4" i="3"/>
  <c r="Y4" i="3"/>
  <c r="AH22" i="3"/>
  <c r="AH21" i="3"/>
  <c r="AG22" i="3"/>
  <c r="AG8" i="3"/>
  <c r="AG13" i="3"/>
  <c r="AG14" i="3"/>
  <c r="AF8" i="3"/>
  <c r="AF13" i="3"/>
  <c r="AF14" i="3"/>
  <c r="W16" i="3"/>
  <c r="W15" i="3"/>
  <c r="W11" i="3"/>
  <c r="W5" i="3"/>
  <c r="V6" i="3"/>
  <c r="V2" i="3"/>
  <c r="AG19" i="3"/>
  <c r="AG23" i="3"/>
  <c r="AG12" i="3"/>
  <c r="AG11" i="3"/>
  <c r="AG7" i="3"/>
  <c r="AF12" i="3"/>
  <c r="AF11" i="3"/>
  <c r="AF7" i="3"/>
  <c r="W20" i="3"/>
  <c r="W19" i="3"/>
  <c r="W3" i="3"/>
  <c r="W6" i="3"/>
  <c r="V3" i="3"/>
  <c r="AG20" i="3"/>
  <c r="AG15" i="3"/>
  <c r="AG5" i="3"/>
  <c r="AG6" i="3"/>
  <c r="AG3" i="3"/>
  <c r="AF5" i="3"/>
  <c r="AF6" i="3"/>
  <c r="AF3" i="3"/>
  <c r="W17" i="3"/>
  <c r="W13" i="3"/>
  <c r="W7" i="3"/>
  <c r="W2" i="3"/>
  <c r="V7" i="3"/>
  <c r="AH20" i="3"/>
  <c r="AG21" i="3"/>
  <c r="AG4" i="3"/>
  <c r="AG9" i="3"/>
  <c r="AG10" i="3"/>
  <c r="AF4" i="3"/>
  <c r="AF9" i="3"/>
  <c r="AF10" i="3"/>
  <c r="W12" i="3"/>
  <c r="W18" i="3"/>
  <c r="W14" i="3"/>
  <c r="W4" i="3"/>
  <c r="V5" i="3"/>
  <c r="V4" i="3"/>
  <c r="AH19" i="3"/>
  <c r="AH23" i="3"/>
  <c r="AH18" i="3"/>
  <c r="AM29" i="3" l="1"/>
  <c r="AM28" i="3"/>
  <c r="AM31" i="3"/>
  <c r="AM27" i="3"/>
  <c r="AM30" i="3"/>
  <c r="AM26" i="3"/>
  <c r="AF31" i="3"/>
  <c r="AF30" i="3"/>
  <c r="AF29" i="3"/>
  <c r="AF28" i="3"/>
  <c r="AF27" i="3"/>
  <c r="AH4" i="3"/>
  <c r="AH8" i="3"/>
  <c r="AH12" i="3"/>
  <c r="AH3" i="3"/>
  <c r="AH5" i="3"/>
  <c r="AH9" i="3"/>
  <c r="AH13" i="3"/>
  <c r="AH11" i="3"/>
  <c r="AH6" i="3"/>
  <c r="AH10" i="3"/>
  <c r="AH14" i="3"/>
  <c r="AH7" i="3"/>
  <c r="Y13" i="3"/>
  <c r="W25" i="3" s="1"/>
  <c r="Y17" i="3"/>
  <c r="Y11" i="3"/>
  <c r="W23" i="3" s="1"/>
  <c r="Y16" i="3"/>
  <c r="Y14" i="3"/>
  <c r="W26" i="3" s="1"/>
  <c r="Y18" i="3"/>
  <c r="Y12" i="3"/>
  <c r="W24" i="3" s="1"/>
  <c r="Y15" i="3"/>
  <c r="W27" i="3" s="1"/>
  <c r="Y19" i="3"/>
  <c r="Y20" i="3"/>
  <c r="V8" i="3"/>
  <c r="W8" i="3"/>
  <c r="R3" i="3"/>
  <c r="R4" i="3"/>
  <c r="R5" i="3"/>
  <c r="R6" i="3"/>
  <c r="R7" i="3"/>
  <c r="R2" i="3"/>
  <c r="O2" i="3" s="1"/>
  <c r="N1" i="3" a="1"/>
  <c r="N1" i="3" s="1"/>
  <c r="O21" i="3"/>
  <c r="O22" i="3"/>
  <c r="O19" i="3"/>
  <c r="N29" i="3"/>
  <c r="N26" i="3"/>
  <c r="N19" i="3"/>
  <c r="M21" i="3"/>
  <c r="M22" i="3"/>
  <c r="M19" i="3"/>
  <c r="M12" i="3"/>
  <c r="C9" i="3"/>
  <c r="C7" i="3"/>
  <c r="C12" i="3"/>
  <c r="D10" i="3"/>
  <c r="D8" i="3"/>
  <c r="D5" i="3"/>
  <c r="C8" i="3"/>
  <c r="C10" i="3"/>
  <c r="D14" i="3"/>
  <c r="D13" i="3"/>
  <c r="O28" i="3"/>
  <c r="N25" i="3"/>
  <c r="N24" i="3"/>
  <c r="M27" i="3"/>
  <c r="M13" i="3"/>
  <c r="C6" i="3"/>
  <c r="D6" i="3"/>
  <c r="D7" i="3"/>
  <c r="O20" i="3"/>
  <c r="O25" i="3"/>
  <c r="O26" i="3"/>
  <c r="N20" i="3"/>
  <c r="N27" i="3"/>
  <c r="N30" i="3"/>
  <c r="M20" i="3"/>
  <c r="M25" i="3"/>
  <c r="M26" i="3"/>
  <c r="M14" i="3"/>
  <c r="G2" i="3"/>
  <c r="C3" i="3"/>
  <c r="D9" i="3"/>
  <c r="D3" i="3"/>
  <c r="O23" i="3"/>
  <c r="M28" i="3"/>
  <c r="M23" i="3"/>
  <c r="C11" i="3"/>
  <c r="C14" i="3"/>
  <c r="D12" i="3"/>
  <c r="O24" i="3"/>
  <c r="O29" i="3"/>
  <c r="O30" i="3"/>
  <c r="N21" i="3"/>
  <c r="N28" i="3"/>
  <c r="N23" i="3"/>
  <c r="M24" i="3"/>
  <c r="M29" i="3"/>
  <c r="M30" i="3"/>
  <c r="M15" i="3"/>
  <c r="C4" i="3"/>
  <c r="C13" i="3"/>
  <c r="C5" i="3"/>
  <c r="D4" i="3"/>
  <c r="D11" i="3"/>
  <c r="O27" i="3"/>
  <c r="N22" i="3"/>
  <c r="AI28" i="3" l="1"/>
  <c r="AJ28" i="3" s="1"/>
  <c r="AI29" i="3"/>
  <c r="AJ29" i="3" s="1"/>
  <c r="AI30" i="3"/>
  <c r="AP31" i="3"/>
  <c r="AQ31" i="3" s="1"/>
  <c r="AP28" i="3"/>
  <c r="AQ28" i="3" s="1"/>
  <c r="AP30" i="3"/>
  <c r="AQ30" i="3" s="1"/>
  <c r="AP29" i="3"/>
  <c r="AQ29" i="3" s="1"/>
  <c r="AP26" i="3"/>
  <c r="AP27" i="3"/>
  <c r="AQ27" i="3" s="1"/>
  <c r="AI26" i="3"/>
  <c r="AI27" i="3"/>
  <c r="AI31" i="3"/>
  <c r="Q7" i="3"/>
  <c r="Q6" i="3"/>
  <c r="N4" i="3"/>
  <c r="Q3" i="3"/>
  <c r="X25" i="3"/>
  <c r="X26" i="3"/>
  <c r="X27" i="3"/>
  <c r="X24" i="3"/>
  <c r="X23" i="3"/>
  <c r="O5" i="3"/>
  <c r="X15" i="3" a="1"/>
  <c r="X15" i="3" s="1"/>
  <c r="V27" i="3" s="1"/>
  <c r="Z15" i="3"/>
  <c r="Z16" i="3"/>
  <c r="X16" i="3" a="1"/>
  <c r="X16" i="3" s="1"/>
  <c r="X12" i="3" a="1"/>
  <c r="X12" i="3" s="1"/>
  <c r="V24" i="3" s="1"/>
  <c r="Z12" i="3"/>
  <c r="X11" i="3" a="1"/>
  <c r="X11" i="3" s="1"/>
  <c r="V23" i="3" s="1"/>
  <c r="Z11" i="3"/>
  <c r="X20" i="3" a="1"/>
  <c r="X20" i="3" s="1"/>
  <c r="Z20" i="3"/>
  <c r="X18" i="3" a="1"/>
  <c r="X18" i="3" s="1"/>
  <c r="Z18" i="3"/>
  <c r="X17" i="3" a="1"/>
  <c r="X17" i="3" s="1"/>
  <c r="Z17" i="3"/>
  <c r="Z19" i="3"/>
  <c r="X19" i="3" a="1"/>
  <c r="X19" i="3" s="1"/>
  <c r="X14" i="3" a="1"/>
  <c r="X14" i="3" s="1"/>
  <c r="V26" i="3" s="1"/>
  <c r="Z14" i="3"/>
  <c r="X13" i="3" a="1"/>
  <c r="X13" i="3" s="1"/>
  <c r="V25" i="3" s="1"/>
  <c r="Z13" i="3"/>
  <c r="N31" i="3" a="1"/>
  <c r="N31" i="3" s="1"/>
  <c r="O31" i="3" a="1"/>
  <c r="O31" i="3" s="1"/>
  <c r="P19" i="3"/>
  <c r="P24" i="3"/>
  <c r="P23" i="3"/>
  <c r="P30" i="3"/>
  <c r="P26" i="3"/>
  <c r="P22" i="3"/>
  <c r="P28" i="3"/>
  <c r="P27" i="3"/>
  <c r="P29" i="3"/>
  <c r="P25" i="3"/>
  <c r="P21" i="3"/>
  <c r="P20" i="3"/>
  <c r="M16" i="3"/>
  <c r="N12" i="3"/>
  <c r="O12" i="3" s="1"/>
  <c r="Q12" i="3" s="1"/>
  <c r="N13" i="3"/>
  <c r="N14" i="3"/>
  <c r="N15" i="3"/>
  <c r="N7" i="3"/>
  <c r="N3" i="3"/>
  <c r="O7" i="3"/>
  <c r="P7" i="3"/>
  <c r="N6" i="3"/>
  <c r="Q5" i="3"/>
  <c r="Q4" i="3"/>
  <c r="S6" i="3"/>
  <c r="P5" i="3"/>
  <c r="S5" i="3"/>
  <c r="N5" i="3"/>
  <c r="O4" i="3"/>
  <c r="P4" i="3"/>
  <c r="S4" i="3"/>
  <c r="O3" i="3"/>
  <c r="P3" i="3"/>
  <c r="S7" i="3"/>
  <c r="S3" i="3"/>
  <c r="O6" i="3"/>
  <c r="P6" i="3"/>
  <c r="S2" i="3"/>
  <c r="N2" i="3"/>
  <c r="Q2" i="3"/>
  <c r="P2" i="3"/>
  <c r="H2" i="3"/>
  <c r="G3" i="3"/>
  <c r="C15" i="3"/>
  <c r="D15" i="3" a="1"/>
  <c r="D15" i="3" s="1"/>
  <c r="E3" i="3"/>
  <c r="E14" i="3"/>
  <c r="E11" i="3"/>
  <c r="E7" i="3"/>
  <c r="E10" i="3"/>
  <c r="E6" i="3"/>
  <c r="E13" i="3"/>
  <c r="E9" i="3"/>
  <c r="E5" i="3"/>
  <c r="E12" i="3"/>
  <c r="E8" i="3"/>
  <c r="E4" i="3"/>
  <c r="O16" i="3"/>
  <c r="AH29" i="3" l="1" a="1"/>
  <c r="AH29" i="3" s="1"/>
  <c r="AL21" i="3" s="1"/>
  <c r="AM21" i="3"/>
  <c r="AM20" i="3"/>
  <c r="AP21" i="3"/>
  <c r="AP20" i="3"/>
  <c r="AH28" i="3" a="1"/>
  <c r="AH28" i="3" s="1"/>
  <c r="AL20" i="3" s="1"/>
  <c r="AO30" i="3" a="1"/>
  <c r="AO30" i="3" s="1"/>
  <c r="AP23" i="3"/>
  <c r="AM23" i="3"/>
  <c r="AJ31" i="3"/>
  <c r="AH31" i="3" a="1"/>
  <c r="AH31" i="3" s="1"/>
  <c r="AL23" i="3" s="1"/>
  <c r="AO26" i="3" a="1"/>
  <c r="AO26" i="3" s="1"/>
  <c r="AQ26" i="3"/>
  <c r="AO27" i="3" a="1"/>
  <c r="AO27" i="3" s="1"/>
  <c r="AO29" i="3" a="1"/>
  <c r="AO29" i="3" s="1"/>
  <c r="AR21" i="3"/>
  <c r="AN21" i="3"/>
  <c r="AP19" i="3"/>
  <c r="AM19" i="3"/>
  <c r="AJ27" i="3"/>
  <c r="AH27" i="3" a="1"/>
  <c r="AH27" i="3" s="1"/>
  <c r="AL19" i="3" s="1"/>
  <c r="AO31" i="3" a="1"/>
  <c r="AO31" i="3" s="1"/>
  <c r="AM18" i="3"/>
  <c r="AJ26" i="3"/>
  <c r="AP18" i="3"/>
  <c r="AH26" i="3" a="1"/>
  <c r="AH26" i="3" s="1"/>
  <c r="AL18" i="3" s="1"/>
  <c r="AO28" i="3" a="1"/>
  <c r="AO28" i="3" s="1"/>
  <c r="AP22" i="3"/>
  <c r="AM22" i="3"/>
  <c r="AJ30" i="3"/>
  <c r="AH30" i="3" a="1"/>
  <c r="AH30" i="3" s="1"/>
  <c r="AL22" i="3" s="1"/>
  <c r="AR20" i="3"/>
  <c r="AN20" i="3"/>
  <c r="P12" i="3"/>
  <c r="P14" i="3"/>
  <c r="O14" i="3"/>
  <c r="Q14" i="3" s="1"/>
  <c r="O13" i="3"/>
  <c r="Q13" i="3" s="1"/>
  <c r="P13" i="3"/>
  <c r="O15" i="3"/>
  <c r="Q15" i="3" s="1"/>
  <c r="P15" i="3"/>
  <c r="Q16" i="3"/>
  <c r="P16" i="3"/>
  <c r="J2" i="3"/>
  <c r="I2" i="3"/>
  <c r="H3" i="3"/>
  <c r="AN23" i="3" l="1"/>
  <c r="AR23" i="3"/>
  <c r="AN22" i="3"/>
  <c r="AR22" i="3"/>
  <c r="AR18" i="3"/>
  <c r="AN18" i="3"/>
  <c r="AR19" i="3"/>
  <c r="AN19" i="3"/>
  <c r="AS21" i="3" l="1" a="1"/>
  <c r="AS21" i="3" s="1"/>
  <c r="AS22" i="3" a="1"/>
  <c r="AS22" i="3" s="1"/>
  <c r="AS23" i="3" a="1"/>
  <c r="AS23" i="3" s="1"/>
  <c r="AQ19" i="3"/>
  <c r="AQ22" i="3"/>
  <c r="AO18" i="3" a="1"/>
  <c r="AO18" i="3" s="1"/>
  <c r="AQ23" i="3"/>
  <c r="AO22" i="3" a="1"/>
  <c r="AO22" i="3" s="1"/>
  <c r="AQ21" i="3"/>
  <c r="AQ20" i="3"/>
  <c r="AS18" i="3" a="1"/>
  <c r="AS18" i="3" s="1"/>
  <c r="AO23" i="3" a="1"/>
  <c r="AO23" i="3" s="1"/>
  <c r="AS19" i="3" a="1"/>
  <c r="AS19" i="3" s="1"/>
  <c r="AQ18" i="3"/>
  <c r="AO21" i="3" a="1"/>
  <c r="AO21" i="3" s="1"/>
  <c r="AO19" i="3" a="1"/>
  <c r="AO19" i="3" s="1"/>
  <c r="AO20" i="3" a="1"/>
  <c r="AO20" i="3" s="1"/>
  <c r="AS20" i="3" a="1"/>
  <c r="AS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<sst xmlns="http://schemas.openxmlformats.org/spreadsheetml/2006/main" count="818" uniqueCount="209">
  <si>
    <t>Year</t>
  </si>
  <si>
    <t>Month</t>
  </si>
  <si>
    <t>Name Month</t>
  </si>
  <si>
    <t>Departments</t>
  </si>
  <si>
    <t>Influx of New Clients</t>
  </si>
  <si>
    <t>Regular Clients</t>
  </si>
  <si>
    <t>Sales</t>
  </si>
  <si>
    <t>Costs</t>
  </si>
  <si>
    <t>Bathroom-I</t>
  </si>
  <si>
    <t>Bedroom-I</t>
  </si>
  <si>
    <t>Kitchen-I</t>
  </si>
  <si>
    <t>Living-I</t>
  </si>
  <si>
    <t>Garden-I</t>
  </si>
  <si>
    <t>Decor-I</t>
  </si>
  <si>
    <t>Bathroom-S</t>
  </si>
  <si>
    <t>Bedroom-S</t>
  </si>
  <si>
    <t>Kitchen-S</t>
  </si>
  <si>
    <t>Living-S</t>
  </si>
  <si>
    <t>Garden-S</t>
  </si>
  <si>
    <t>Decor-S</t>
  </si>
  <si>
    <t>Average Check</t>
  </si>
  <si>
    <t>Product 1</t>
  </si>
  <si>
    <t>Product 2</t>
  </si>
  <si>
    <t>Product 3</t>
  </si>
  <si>
    <t>Product 4</t>
  </si>
  <si>
    <t>Product 5</t>
  </si>
  <si>
    <t>Product 6</t>
  </si>
  <si>
    <t>Product 7</t>
  </si>
  <si>
    <t>Product 8</t>
  </si>
  <si>
    <t>Product 9</t>
  </si>
  <si>
    <t>Product 10</t>
  </si>
  <si>
    <t>JAN</t>
  </si>
  <si>
    <t>Northern District</t>
  </si>
  <si>
    <t>96,25</t>
  </si>
  <si>
    <t>27,25</t>
  </si>
  <si>
    <t>Eastern District</t>
  </si>
  <si>
    <t>67,5</t>
  </si>
  <si>
    <t>25,15</t>
  </si>
  <si>
    <t>Southern District</t>
  </si>
  <si>
    <t>17,3</t>
  </si>
  <si>
    <t>Western District</t>
  </si>
  <si>
    <t>56,25</t>
  </si>
  <si>
    <t>FEB</t>
  </si>
  <si>
    <t>40,95</t>
  </si>
  <si>
    <t>27,5</t>
  </si>
  <si>
    <t>58,8</t>
  </si>
  <si>
    <t>83,75</t>
  </si>
  <si>
    <t>35,7</t>
  </si>
  <si>
    <t>33,75</t>
  </si>
  <si>
    <t>14,7</t>
  </si>
  <si>
    <t>MAR</t>
  </si>
  <si>
    <t>24,15</t>
  </si>
  <si>
    <t>72,5</t>
  </si>
  <si>
    <t>39,9</t>
  </si>
  <si>
    <t>57,5</t>
  </si>
  <si>
    <t>18,9</t>
  </si>
  <si>
    <t>62,5</t>
  </si>
  <si>
    <t>43,05</t>
  </si>
  <si>
    <t>APR</t>
  </si>
  <si>
    <t>97,5</t>
  </si>
  <si>
    <t>33,6</t>
  </si>
  <si>
    <t>22,05</t>
  </si>
  <si>
    <t>55,65</t>
  </si>
  <si>
    <t>87,5</t>
  </si>
  <si>
    <t>51,45</t>
  </si>
  <si>
    <t>MAY</t>
  </si>
  <si>
    <t>41,25</t>
  </si>
  <si>
    <t>25,2</t>
  </si>
  <si>
    <t>82,5</t>
  </si>
  <si>
    <t>46,2</t>
  </si>
  <si>
    <t>49,35</t>
  </si>
  <si>
    <t>JUN</t>
  </si>
  <si>
    <t>107,5</t>
  </si>
  <si>
    <t>92,5</t>
  </si>
  <si>
    <t>12,6</t>
  </si>
  <si>
    <t>37,5</t>
  </si>
  <si>
    <t>JUL</t>
  </si>
  <si>
    <t>127,5</t>
  </si>
  <si>
    <t>28,35</t>
  </si>
  <si>
    <t>44,1</t>
  </si>
  <si>
    <t>56,7</t>
  </si>
  <si>
    <t>AUG</t>
  </si>
  <si>
    <t>112,5</t>
  </si>
  <si>
    <t>122,5</t>
  </si>
  <si>
    <t>111,25</t>
  </si>
  <si>
    <t>93,75</t>
  </si>
  <si>
    <t>32,55</t>
  </si>
  <si>
    <t>SEP</t>
  </si>
  <si>
    <t>29,4</t>
  </si>
  <si>
    <t>30,45</t>
  </si>
  <si>
    <t>OCT</t>
  </si>
  <si>
    <t>47,25</t>
  </si>
  <si>
    <t>17,85</t>
  </si>
  <si>
    <t>NOV</t>
  </si>
  <si>
    <t>108,75</t>
  </si>
  <si>
    <t>37,8</t>
  </si>
  <si>
    <t>57,75</t>
  </si>
  <si>
    <t>88,75</t>
  </si>
  <si>
    <t>42,5</t>
  </si>
  <si>
    <t>34,65</t>
  </si>
  <si>
    <t>DEC</t>
  </si>
  <si>
    <t>126,25</t>
  </si>
  <si>
    <t>63,75</t>
  </si>
  <si>
    <t>16,8</t>
  </si>
  <si>
    <t>76,25</t>
  </si>
  <si>
    <t>27,3</t>
  </si>
  <si>
    <t>38,75</t>
  </si>
  <si>
    <t>128,75</t>
  </si>
  <si>
    <t>10,5</t>
  </si>
  <si>
    <t>152,5</t>
  </si>
  <si>
    <t>48,3</t>
  </si>
  <si>
    <t>73,75</t>
  </si>
  <si>
    <t>19,95</t>
  </si>
  <si>
    <t>38,85</t>
  </si>
  <si>
    <t>59,85</t>
  </si>
  <si>
    <t>36,25</t>
  </si>
  <si>
    <t>153,75</t>
  </si>
  <si>
    <t>50,4</t>
  </si>
  <si>
    <t>137,5</t>
  </si>
  <si>
    <t>157,5</t>
  </si>
  <si>
    <t>148,75</t>
  </si>
  <si>
    <t>23,1</t>
  </si>
  <si>
    <t>146,25</t>
  </si>
  <si>
    <t>141,25</t>
  </si>
  <si>
    <t>61,95</t>
  </si>
  <si>
    <t>81,25</t>
  </si>
  <si>
    <t>52,5</t>
  </si>
  <si>
    <t>68,75</t>
  </si>
  <si>
    <t>156,25</t>
  </si>
  <si>
    <t>53,55</t>
  </si>
  <si>
    <t>54,6</t>
  </si>
  <si>
    <t>136,25</t>
  </si>
  <si>
    <t>117,5</t>
  </si>
  <si>
    <t>Grand Total</t>
  </si>
  <si>
    <t>Row Labels</t>
  </si>
  <si>
    <t>Sum of Influx of New Clients</t>
  </si>
  <si>
    <t>Jan</t>
  </si>
  <si>
    <t>Feb</t>
  </si>
  <si>
    <t>Mar</t>
  </si>
  <si>
    <t>Apr</t>
  </si>
  <si>
    <t>May</t>
  </si>
  <si>
    <t>Jun</t>
  </si>
  <si>
    <t>Jul</t>
  </si>
  <si>
    <t>Aug</t>
  </si>
  <si>
    <t>Sep</t>
  </si>
  <si>
    <t>Oct</t>
  </si>
  <si>
    <t>Nov</t>
  </si>
  <si>
    <t>Dec</t>
  </si>
  <si>
    <t>Clients</t>
  </si>
  <si>
    <t>Level</t>
  </si>
  <si>
    <t>S.No</t>
  </si>
  <si>
    <t>Indica</t>
  </si>
  <si>
    <t>(All)</t>
  </si>
  <si>
    <t>Average of Regular Clients</t>
  </si>
  <si>
    <t>x</t>
  </si>
  <si>
    <t>y</t>
  </si>
  <si>
    <t>Total Annual Profit</t>
  </si>
  <si>
    <t>Sum of Sales</t>
  </si>
  <si>
    <t>Value</t>
  </si>
  <si>
    <t>Data X</t>
  </si>
  <si>
    <t>Data Y</t>
  </si>
  <si>
    <t>X</t>
  </si>
  <si>
    <t>Y</t>
  </si>
  <si>
    <t>Sum of Costs</t>
  </si>
  <si>
    <t>S Layer</t>
  </si>
  <si>
    <t>Cost</t>
  </si>
  <si>
    <t>Mark</t>
  </si>
  <si>
    <t>Sum of Bathroom-I</t>
  </si>
  <si>
    <t>Sum of Bedroom-I</t>
  </si>
  <si>
    <t>Sum of Kitchen-I</t>
  </si>
  <si>
    <t>Sum of Living-I</t>
  </si>
  <si>
    <t>Sum of Garden-I</t>
  </si>
  <si>
    <t>Sum of Decor-I</t>
  </si>
  <si>
    <t>Sum of Bathroom-S</t>
  </si>
  <si>
    <t>Sum of Bedroom-S</t>
  </si>
  <si>
    <t>Sum of Kitchen-S</t>
  </si>
  <si>
    <t>Sum of Living-S</t>
  </si>
  <si>
    <t>Sum of Garden-S</t>
  </si>
  <si>
    <t>Sum of Decor-S</t>
  </si>
  <si>
    <t>Inventory</t>
  </si>
  <si>
    <t>Bathroom</t>
  </si>
  <si>
    <t>Bedroom</t>
  </si>
  <si>
    <t>Kitchen</t>
  </si>
  <si>
    <t>Living</t>
  </si>
  <si>
    <t>Garden</t>
  </si>
  <si>
    <t>Decor</t>
  </si>
  <si>
    <t>&lt;--</t>
  </si>
  <si>
    <t>ALT+219</t>
  </si>
  <si>
    <t>■</t>
  </si>
  <si>
    <t>Sum of Product 1</t>
  </si>
  <si>
    <t>Sum of Product 2</t>
  </si>
  <si>
    <t>Sum of Product 3</t>
  </si>
  <si>
    <t>Sum of Product 4</t>
  </si>
  <si>
    <t>Sum of Product 5</t>
  </si>
  <si>
    <t>Sum of Product 6</t>
  </si>
  <si>
    <t>Sum of Product 7</t>
  </si>
  <si>
    <t>Sum of Product 8</t>
  </si>
  <si>
    <t>Sum of Product 9</t>
  </si>
  <si>
    <t>Sum of Product 10</t>
  </si>
  <si>
    <t>Top 5 Product</t>
  </si>
  <si>
    <t>Sum of Average Check</t>
  </si>
  <si>
    <t>`</t>
  </si>
  <si>
    <t>Sales &amp; Inventory</t>
  </si>
  <si>
    <t>Sort by Sales</t>
  </si>
  <si>
    <t>Sort by Inventory</t>
  </si>
  <si>
    <t>Products</t>
  </si>
  <si>
    <t>Left</t>
  </si>
  <si>
    <t>Middle</t>
  </si>
  <si>
    <t>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</si>
</sst>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5"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8"/>
      <color rgb="FF000000"/>
      <name val="Segoe UI"/>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wrapText="1"/>
    </xf>
    <xf numFmtId="0" fontId="0" fillId="0" borderId="1" xfId="0" applyBorder="1" applyAlignment="1">
      <alignment wrapText="1"/>
    </xf>
    <xf numFmtId="9" fontId="0" fillId="0" borderId="1" xfId="0" applyNumberFormat="1" applyBorder="1" applyAlignment="1">
      <alignment horizontal="right" wrapText="1"/>
    </xf>
    <xf numFmtId="0" fontId="0" fillId="0" borderId="1" xfId="0" applyBorder="1" applyAlignment="1">
      <alignment horizontal="right" wrapText="1"/>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center" vertical="center"/>
    </xf>
    <xf numFmtId="3" fontId="0" fillId="0" borderId="0" xfId="0" applyNumberFormat="1" applyAlignment="1">
      <alignment horizontal="center" vertical="center"/>
    </xf>
    <xf numFmtId="9" fontId="0" fillId="0" borderId="0" xfId="0" applyNumberFormat="1"/>
    <xf numFmtId="9" fontId="0" fillId="0" borderId="0" xfId="3" applyFont="1" applyAlignment="1">
      <alignment horizontal="center" vertical="center"/>
    </xf>
    <xf numFmtId="10" fontId="0" fillId="0" borderId="0" xfId="0" applyNumberFormat="1" applyAlignment="1">
      <alignment horizontal="center" vertical="center"/>
    </xf>
    <xf numFmtId="9" fontId="0" fillId="0" borderId="0" xfId="0" applyNumberFormat="1" applyAlignment="1">
      <alignment horizontal="center" vertical="center"/>
    </xf>
    <xf numFmtId="164" fontId="0" fillId="0" borderId="0" xfId="2" applyNumberFormat="1" applyFont="1" applyAlignment="1">
      <alignment horizontal="center" vertical="center"/>
    </xf>
    <xf numFmtId="43" fontId="0" fillId="0" borderId="0" xfId="1" applyFont="1" applyAlignment="1">
      <alignment horizontal="center" vertical="center"/>
    </xf>
    <xf numFmtId="165" fontId="0" fillId="0" borderId="0" xfId="1" applyNumberFormat="1" applyFont="1" applyAlignment="1">
      <alignment horizontal="center" vertical="center"/>
    </xf>
    <xf numFmtId="0" fontId="0" fillId="0" borderId="2" xfId="0" applyBorder="1" applyAlignment="1">
      <alignment horizontal="center" vertical="center"/>
    </xf>
    <xf numFmtId="165" fontId="0" fillId="0" borderId="2" xfId="1" applyNumberFormat="1" applyFont="1" applyBorder="1" applyAlignment="1">
      <alignment horizontal="center" vertical="center"/>
    </xf>
    <xf numFmtId="0" fontId="0" fillId="0" borderId="0" xfId="0" applyAlignment="1">
      <alignment horizontal="center" vertical="center"/>
    </xf>
  </cellXfs>
  <cellStyles count="4">
    <cellStyle name="Comma" xfId="1" builtinId="3"/>
    <cellStyle name="Currency" xfId="2" builtinId="4"/>
    <cellStyle name="Normal" xfId="0" builtinId="0"/>
    <cellStyle name="Percent" xfId="3" builtinId="5"/>
  </cellStyles>
  <dxfs count="20">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color theme="1"/>
      </font>
      <border>
        <bottom style="thin">
          <color theme="4"/>
        </bottom>
        <vertical/>
        <horizontal/>
      </border>
    </dxf>
    <dxf>
      <font>
        <color theme="4" tint="0.39994506668294322"/>
      </font>
      <fill>
        <patternFill>
          <bgColor theme="1" tint="4.9989318521683403E-2"/>
        </patternFill>
      </fill>
      <border diagonalUp="0" diagonalDown="0">
        <left/>
        <right/>
        <top/>
        <bottom/>
        <vertical/>
        <horizontal/>
      </border>
    </dxf>
    <dxf>
      <font>
        <color theme="0"/>
      </font>
      <border>
        <bottom style="thin">
          <color theme="4"/>
        </bottom>
        <vertical/>
        <horizontal/>
      </border>
    </dxf>
    <dxf>
      <font>
        <color theme="4" tint="0.39994506668294322"/>
      </font>
      <fill>
        <patternFill>
          <bgColor theme="1"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18E4BEEC-E4FD-4094-97C2-6A65DC7D854C}">
      <tableStyleElement type="wholeTable" dxfId="19"/>
      <tableStyleElement type="headerRow" dxfId="18"/>
    </tableStyle>
    <tableStyle name="SlicerStyleLight1 2 2" pivot="0" table="0" count="10" xr9:uid="{24EE0787-23D4-4795-BF18-F545098F90B9}">
      <tableStyleElement type="wholeTable" dxfId="17"/>
      <tableStyleElement type="headerRow" dxfId="16"/>
    </tableStyle>
  </tableStyles>
  <colors>
    <mruColors>
      <color rgb="FF366A8A"/>
      <color rgb="FF9770C2"/>
      <color rgb="FF9949E9"/>
      <color rgb="FF7F5E9A"/>
      <color rgb="FFA6A6A6"/>
      <color rgb="FF73B26E"/>
      <color rgb="FF84B56B"/>
      <color rgb="FF8DA47C"/>
      <color rgb="FF70FF21"/>
      <color rgb="FF9FC7F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patternFill>
          </fill>
          <border diagonalUp="0" diagonalDown="0">
            <left/>
            <right/>
            <top/>
            <bottom/>
            <vertical/>
            <horizontal/>
          </border>
        </dxf>
        <dxf>
          <font>
            <color theme="3" tint="0.749961851863155"/>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2" tint="-0.24994659260841701"/>
          </font>
          <fill>
            <patternFill patternType="solid">
              <fgColor rgb="FFFFFFFF"/>
              <bgColor theme="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patternFill>
          </fill>
          <border diagonalUp="0" diagonalDown="0">
            <left/>
            <right/>
            <top/>
            <bottom/>
            <vertical/>
            <horizontal/>
          </border>
        </dxf>
        <dxf>
          <font>
            <color theme="3" tint="0.749961851863155"/>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2" tint="-0.24994659260841701"/>
          </font>
          <fill>
            <patternFill patternType="solid">
              <fgColor rgb="FFFFFFFF"/>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Influx of New Clients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2"/>
          <c:spPr>
            <a:gradFill>
              <a:gsLst>
                <a:gs pos="0">
                  <a:schemeClr val="bg1">
                    <a:lumMod val="65000"/>
                  </a:schemeClr>
                </a:gs>
                <a:gs pos="60000">
                  <a:schemeClr val="accent1">
                    <a:lumMod val="30000"/>
                    <a:lumOff val="70000"/>
                    <a:alpha val="10000"/>
                  </a:schemeClr>
                </a:gs>
              </a:gsLst>
              <a:lin ang="5400000" scaled="1"/>
            </a:gradFill>
            <a:ln>
              <a:noFill/>
            </a:ln>
            <a:effectLst/>
          </c:spPr>
          <c:invertIfNegative val="0"/>
          <c:dLbls>
            <c:delete val="1"/>
          </c:dLbls>
          <c:val>
            <c:numRef>
              <c:f>Process!$E$3:$E$14</c:f>
              <c:numCache>
                <c:formatCode>General</c:formatCode>
                <c:ptCount val="12"/>
                <c:pt idx="0">
                  <c:v>924</c:v>
                </c:pt>
                <c:pt idx="1">
                  <c:v>929</c:v>
                </c:pt>
                <c:pt idx="2">
                  <c:v>876</c:v>
                </c:pt>
                <c:pt idx="3">
                  <c:v>864</c:v>
                </c:pt>
                <c:pt idx="4">
                  <c:v>712</c:v>
                </c:pt>
                <c:pt idx="5">
                  <c:v>1020</c:v>
                </c:pt>
                <c:pt idx="6">
                  <c:v>1167</c:v>
                </c:pt>
                <c:pt idx="7">
                  <c:v>1260</c:v>
                </c:pt>
                <c:pt idx="8">
                  <c:v>868</c:v>
                </c:pt>
                <c:pt idx="9">
                  <c:v>1222</c:v>
                </c:pt>
                <c:pt idx="10">
                  <c:v>957</c:v>
                </c:pt>
                <c:pt idx="11">
                  <c:v>1102</c:v>
                </c:pt>
              </c:numCache>
            </c:numRef>
          </c:val>
          <c:extLst>
            <c:ext xmlns:c16="http://schemas.microsoft.com/office/drawing/2014/chart" uri="{C3380CC4-5D6E-409C-BE32-E72D297353CC}">
              <c16:uniqueId val="{00000002-E7E9-4A50-BCB1-E042F6EF492D}"/>
            </c:ext>
          </c:extLst>
        </c:ser>
        <c:dLbls>
          <c:dLblPos val="outEnd"/>
          <c:showLegendKey val="0"/>
          <c:showVal val="1"/>
          <c:showCatName val="0"/>
          <c:showSerName val="0"/>
          <c:showPercent val="0"/>
          <c:showBubbleSize val="0"/>
        </c:dLbls>
        <c:gapWidth val="0"/>
        <c:axId val="1969744271"/>
        <c:axId val="1969733231"/>
      </c:barChart>
      <c:lineChart>
        <c:grouping val="standard"/>
        <c:varyColors val="0"/>
        <c:ser>
          <c:idx val="0"/>
          <c:order val="0"/>
          <c:tx>
            <c:strRef>
              <c:f>Process!$C$2</c:f>
              <c:strCache>
                <c:ptCount val="1"/>
                <c:pt idx="0">
                  <c:v>Clients</c:v>
                </c:pt>
              </c:strCache>
            </c:strRef>
          </c:tx>
          <c:spPr>
            <a:ln w="28575" cap="rnd">
              <a:gradFill>
                <a:gsLst>
                  <a:gs pos="0">
                    <a:srgbClr val="9949E9"/>
                  </a:gs>
                  <a:gs pos="100000">
                    <a:schemeClr val="accent1">
                      <a:lumMod val="45000"/>
                      <a:lumOff val="55000"/>
                    </a:schemeClr>
                  </a:gs>
                </a:gsLst>
                <a:lin ang="0" scaled="0"/>
              </a:gradFill>
              <a:round/>
            </a:ln>
            <a:effectLst/>
          </c:spPr>
          <c:marker>
            <c:symbol val="none"/>
          </c:marker>
          <c:dPt>
            <c:idx val="11"/>
            <c:marker>
              <c:symbol val="none"/>
            </c:marker>
            <c:bubble3D val="0"/>
            <c:spPr>
              <a:ln w="19050" cap="rnd">
                <a:gradFill>
                  <a:gsLst>
                    <a:gs pos="0">
                      <a:srgbClr val="9949E9"/>
                    </a:gs>
                    <a:gs pos="100000">
                      <a:schemeClr val="accent1">
                        <a:lumMod val="45000"/>
                        <a:lumOff val="55000"/>
                      </a:schemeClr>
                    </a:gs>
                  </a:gsLst>
                  <a:lin ang="0" scaled="0"/>
                </a:gradFill>
                <a:round/>
              </a:ln>
              <a:effectLst/>
            </c:spPr>
            <c:extLst>
              <c:ext xmlns:c16="http://schemas.microsoft.com/office/drawing/2014/chart" uri="{C3380CC4-5D6E-409C-BE32-E72D297353CC}">
                <c16:uniqueId val="{00000000-E7E9-4A50-BCB1-E042F6EF492D}"/>
              </c:ext>
            </c:extLst>
          </c:dPt>
          <c:dLbls>
            <c:delete val="1"/>
          </c:dLbls>
          <c:cat>
            <c:strRef>
              <c:f>Process!$B$3:$B$14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Process!$C$3:$C$14</c:f>
              <c:numCache>
                <c:formatCode>General</c:formatCode>
                <c:ptCount val="12"/>
                <c:pt idx="0">
                  <c:v>924</c:v>
                </c:pt>
                <c:pt idx="1">
                  <c:v>929</c:v>
                </c:pt>
                <c:pt idx="2">
                  <c:v>876</c:v>
                </c:pt>
                <c:pt idx="3">
                  <c:v>864</c:v>
                </c:pt>
                <c:pt idx="4">
                  <c:v>712</c:v>
                </c:pt>
                <c:pt idx="5">
                  <c:v>1020</c:v>
                </c:pt>
                <c:pt idx="6">
                  <c:v>1167</c:v>
                </c:pt>
                <c:pt idx="7">
                  <c:v>1260</c:v>
                </c:pt>
                <c:pt idx="8">
                  <c:v>868</c:v>
                </c:pt>
                <c:pt idx="9">
                  <c:v>1222</c:v>
                </c:pt>
                <c:pt idx="10">
                  <c:v>957</c:v>
                </c:pt>
                <c:pt idx="11">
                  <c:v>1102</c:v>
                </c:pt>
              </c:numCache>
            </c:numRef>
          </c:val>
          <c:smooth val="1"/>
          <c:extLst>
            <c:ext xmlns:c16="http://schemas.microsoft.com/office/drawing/2014/chart" uri="{C3380CC4-5D6E-409C-BE32-E72D297353CC}">
              <c16:uniqueId val="{00000000-6B8B-4607-B330-7DF6645D3F51}"/>
            </c:ext>
          </c:extLst>
        </c:ser>
        <c:dLbls>
          <c:showLegendKey val="0"/>
          <c:showVal val="1"/>
          <c:showCatName val="0"/>
          <c:showSerName val="0"/>
          <c:showPercent val="0"/>
          <c:showBubbleSize val="0"/>
        </c:dLbls>
        <c:marker val="1"/>
        <c:smooth val="0"/>
        <c:axId val="1969744271"/>
        <c:axId val="1969733231"/>
      </c:lineChart>
      <c:scatterChart>
        <c:scatterStyle val="lineMarker"/>
        <c:varyColors val="0"/>
        <c:ser>
          <c:idx val="2"/>
          <c:order val="1"/>
          <c:tx>
            <c:strRef>
              <c:f>Process!$E$2</c:f>
              <c:strCache>
                <c:ptCount val="1"/>
                <c:pt idx="0">
                  <c:v>Indica</c:v>
                </c:pt>
              </c:strCache>
            </c:strRef>
          </c:tx>
          <c:spPr>
            <a:ln w="25400" cap="rnd">
              <a:noFill/>
              <a:round/>
            </a:ln>
            <a:effectLst/>
          </c:spPr>
          <c:marker>
            <c:symbol val="circle"/>
            <c:size val="7"/>
            <c:spPr>
              <a:solidFill>
                <a:srgbClr val="00B0F0"/>
              </a:solidFill>
              <a:ln w="9525">
                <a:solidFill>
                  <a:schemeClr val="accent3"/>
                </a:solidFill>
              </a:ln>
              <a:effectLst/>
            </c:spPr>
          </c:marker>
          <c:dLbls>
            <c:dLbl>
              <c:idx val="0"/>
              <c:tx>
                <c:rich>
                  <a:bodyPr/>
                  <a:lstStyle/>
                  <a:p>
                    <a:fld id="{A0C5F0D1-8814-4DB0-947B-42B65B852C7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0D8-4DF7-9458-9672D40F9B33}"/>
                </c:ext>
              </c:extLst>
            </c:dLbl>
            <c:dLbl>
              <c:idx val="1"/>
              <c:tx>
                <c:rich>
                  <a:bodyPr/>
                  <a:lstStyle/>
                  <a:p>
                    <a:fld id="{3C6B829D-533B-4E7E-9BC9-41FF5F9DD13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D8-4DF7-9458-9672D40F9B33}"/>
                </c:ext>
              </c:extLst>
            </c:dLbl>
            <c:dLbl>
              <c:idx val="2"/>
              <c:tx>
                <c:rich>
                  <a:bodyPr/>
                  <a:lstStyle/>
                  <a:p>
                    <a:fld id="{6B8160BF-F3A9-4187-89BF-2CF434B4080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D8-4DF7-9458-9672D40F9B33}"/>
                </c:ext>
              </c:extLst>
            </c:dLbl>
            <c:dLbl>
              <c:idx val="3"/>
              <c:tx>
                <c:rich>
                  <a:bodyPr/>
                  <a:lstStyle/>
                  <a:p>
                    <a:fld id="{2F9C9BEB-6A79-4B92-BAC7-541946C481A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0D8-4DF7-9458-9672D40F9B33}"/>
                </c:ext>
              </c:extLst>
            </c:dLbl>
            <c:dLbl>
              <c:idx val="4"/>
              <c:tx>
                <c:rich>
                  <a:bodyPr/>
                  <a:lstStyle/>
                  <a:p>
                    <a:fld id="{46FEF672-5749-40C0-A7B5-EE22B6B4D24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D8-4DF7-9458-9672D40F9B33}"/>
                </c:ext>
              </c:extLst>
            </c:dLbl>
            <c:dLbl>
              <c:idx val="5"/>
              <c:tx>
                <c:rich>
                  <a:bodyPr/>
                  <a:lstStyle/>
                  <a:p>
                    <a:fld id="{7D977CE4-256D-4F00-8C58-021423224B7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D8-4DF7-9458-9672D40F9B33}"/>
                </c:ext>
              </c:extLst>
            </c:dLbl>
            <c:dLbl>
              <c:idx val="6"/>
              <c:tx>
                <c:rich>
                  <a:bodyPr/>
                  <a:lstStyle/>
                  <a:p>
                    <a:fld id="{E38F8B5C-441B-4900-BDDC-F033940FC37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0D8-4DF7-9458-9672D40F9B33}"/>
                </c:ext>
              </c:extLst>
            </c:dLbl>
            <c:dLbl>
              <c:idx val="7"/>
              <c:tx>
                <c:rich>
                  <a:bodyPr/>
                  <a:lstStyle/>
                  <a:p>
                    <a:fld id="{7369EC4F-72F5-4E17-9D01-0E98B67B544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0D8-4DF7-9458-9672D40F9B33}"/>
                </c:ext>
              </c:extLst>
            </c:dLbl>
            <c:dLbl>
              <c:idx val="8"/>
              <c:tx>
                <c:rich>
                  <a:bodyPr/>
                  <a:lstStyle/>
                  <a:p>
                    <a:fld id="{9C73513F-0B8B-47E6-BDD2-7078E166FF5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0D8-4DF7-9458-9672D40F9B33}"/>
                </c:ext>
              </c:extLst>
            </c:dLbl>
            <c:dLbl>
              <c:idx val="9"/>
              <c:tx>
                <c:rich>
                  <a:bodyPr/>
                  <a:lstStyle/>
                  <a:p>
                    <a:fld id="{F976E4C1-D737-4D87-B749-D8633ECF5A9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0D8-4DF7-9458-9672D40F9B33}"/>
                </c:ext>
              </c:extLst>
            </c:dLbl>
            <c:dLbl>
              <c:idx val="10"/>
              <c:tx>
                <c:rich>
                  <a:bodyPr/>
                  <a:lstStyle/>
                  <a:p>
                    <a:fld id="{CCEF04AD-CCD9-4A67-A071-C83CE6AB03F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0D8-4DF7-9458-9672D40F9B33}"/>
                </c:ext>
              </c:extLst>
            </c:dLbl>
            <c:dLbl>
              <c:idx val="11"/>
              <c:tx>
                <c:rich>
                  <a:bodyPr/>
                  <a:lstStyle/>
                  <a:p>
                    <a:fld id="{E4BB7728-35B6-4205-B9A5-622B311EE5F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0D8-4DF7-9458-9672D40F9B33}"/>
                </c:ext>
              </c:extLst>
            </c:dLbl>
            <c:spPr>
              <a:solidFill>
                <a:schemeClr val="tx1">
                  <a:lumMod val="75000"/>
                  <a:lumOff val="2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Process!$E$3:$E$14</c:f>
                <c:numCache>
                  <c:formatCode>General</c:formatCode>
                  <c:ptCount val="12"/>
                  <c:pt idx="0">
                    <c:v>924</c:v>
                  </c:pt>
                  <c:pt idx="1">
                    <c:v>929</c:v>
                  </c:pt>
                  <c:pt idx="2">
                    <c:v>876</c:v>
                  </c:pt>
                  <c:pt idx="3">
                    <c:v>864</c:v>
                  </c:pt>
                  <c:pt idx="4">
                    <c:v>712</c:v>
                  </c:pt>
                  <c:pt idx="5">
                    <c:v>1020</c:v>
                  </c:pt>
                  <c:pt idx="6">
                    <c:v>1167</c:v>
                  </c:pt>
                  <c:pt idx="7">
                    <c:v>1260</c:v>
                  </c:pt>
                  <c:pt idx="8">
                    <c:v>868</c:v>
                  </c:pt>
                  <c:pt idx="9">
                    <c:v>1222</c:v>
                  </c:pt>
                  <c:pt idx="10">
                    <c:v>957</c:v>
                  </c:pt>
                  <c:pt idx="11">
                    <c:v>1102</c:v>
                  </c:pt>
                </c:numCache>
              </c:numRef>
            </c:minus>
            <c:spPr>
              <a:noFill/>
              <a:ln w="9525" cap="flat" cmpd="sng" algn="ctr">
                <a:solidFill>
                  <a:schemeClr val="tx1">
                    <a:lumMod val="65000"/>
                    <a:lumOff val="35000"/>
                  </a:schemeClr>
                </a:solidFill>
                <a:round/>
              </a:ln>
              <a:effectLst/>
            </c:spPr>
          </c:errBars>
          <c:xVal>
            <c:strRef>
              <c:f>Process!$B$3:$B$14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Process!$E$3:$E$14</c:f>
              <c:numCache>
                <c:formatCode>General</c:formatCode>
                <c:ptCount val="12"/>
                <c:pt idx="0">
                  <c:v>924</c:v>
                </c:pt>
                <c:pt idx="1">
                  <c:v>929</c:v>
                </c:pt>
                <c:pt idx="2">
                  <c:v>876</c:v>
                </c:pt>
                <c:pt idx="3">
                  <c:v>864</c:v>
                </c:pt>
                <c:pt idx="4">
                  <c:v>712</c:v>
                </c:pt>
                <c:pt idx="5">
                  <c:v>1020</c:v>
                </c:pt>
                <c:pt idx="6">
                  <c:v>1167</c:v>
                </c:pt>
                <c:pt idx="7">
                  <c:v>1260</c:v>
                </c:pt>
                <c:pt idx="8">
                  <c:v>868</c:v>
                </c:pt>
                <c:pt idx="9">
                  <c:v>1222</c:v>
                </c:pt>
                <c:pt idx="10">
                  <c:v>957</c:v>
                </c:pt>
                <c:pt idx="11">
                  <c:v>1102</c:v>
                </c:pt>
              </c:numCache>
            </c:numRef>
          </c:yVal>
          <c:smooth val="0"/>
          <c:extLst>
            <c:ext xmlns:c15="http://schemas.microsoft.com/office/drawing/2012/chart" uri="{02D57815-91ED-43cb-92C2-25804820EDAC}">
              <c15:datalabelsRange>
                <c15:f>Process!$E$3:$E$14</c15:f>
                <c15:dlblRangeCache>
                  <c:ptCount val="12"/>
                  <c:pt idx="0">
                    <c:v>924</c:v>
                  </c:pt>
                  <c:pt idx="1">
                    <c:v>929</c:v>
                  </c:pt>
                  <c:pt idx="2">
                    <c:v>876</c:v>
                  </c:pt>
                  <c:pt idx="3">
                    <c:v>864</c:v>
                  </c:pt>
                  <c:pt idx="4">
                    <c:v>712</c:v>
                  </c:pt>
                  <c:pt idx="5">
                    <c:v>1020</c:v>
                  </c:pt>
                  <c:pt idx="6">
                    <c:v>1167</c:v>
                  </c:pt>
                  <c:pt idx="7">
                    <c:v>1260</c:v>
                  </c:pt>
                  <c:pt idx="8">
                    <c:v>868</c:v>
                  </c:pt>
                  <c:pt idx="9">
                    <c:v>1222</c:v>
                  </c:pt>
                  <c:pt idx="10">
                    <c:v>957</c:v>
                  </c:pt>
                  <c:pt idx="11">
                    <c:v>1102</c:v>
                  </c:pt>
                </c15:dlblRangeCache>
              </c15:datalabelsRange>
            </c:ext>
            <c:ext xmlns:c16="http://schemas.microsoft.com/office/drawing/2014/chart" uri="{C3380CC4-5D6E-409C-BE32-E72D297353CC}">
              <c16:uniqueId val="{00000002-6B8B-4607-B330-7DF6645D3F51}"/>
            </c:ext>
          </c:extLst>
        </c:ser>
        <c:dLbls>
          <c:showLegendKey val="0"/>
          <c:showVal val="1"/>
          <c:showCatName val="0"/>
          <c:showSerName val="0"/>
          <c:showPercent val="0"/>
          <c:showBubbleSize val="0"/>
        </c:dLbls>
        <c:axId val="1969744271"/>
        <c:axId val="1969733231"/>
      </c:scatterChart>
      <c:catAx>
        <c:axId val="196974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33231"/>
        <c:crosses val="autoZero"/>
        <c:auto val="1"/>
        <c:lblAlgn val="ctr"/>
        <c:lblOffset val="100"/>
        <c:noMultiLvlLbl val="0"/>
      </c:catAx>
      <c:valAx>
        <c:axId val="1969733231"/>
        <c:scaling>
          <c:orientation val="minMax"/>
        </c:scaling>
        <c:delete val="0"/>
        <c:axPos val="l"/>
        <c:majorGridlines>
          <c:spPr>
            <a:ln w="9525" cap="flat" cmpd="sng" algn="ctr">
              <a:solidFill>
                <a:schemeClr val="accent1">
                  <a:shade val="15000"/>
                  <a:alpha val="8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969744271"/>
        <c:crosses val="autoZero"/>
        <c:crossBetween val="between"/>
      </c:valAx>
      <c:spPr>
        <a:noFill/>
        <a:ln>
          <a:noFill/>
        </a:ln>
        <a:effectLst>
          <a:outerShdw blurRad="50800" dist="50800" dir="5400000" algn="ctr" rotWithShape="0">
            <a:srgbClr val="000000">
              <a:alpha val="30000"/>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Regular</a:t>
            </a:r>
            <a:r>
              <a:rPr lang="en-IN" baseline="0">
                <a:solidFill>
                  <a:schemeClr val="bg1"/>
                </a:solidFill>
              </a:rPr>
              <a:t> Clients</a:t>
            </a:r>
            <a:endParaRPr lang="en-IN">
              <a:solidFill>
                <a:schemeClr val="bg1"/>
              </a:solidFill>
            </a:endParaRPr>
          </a:p>
        </c:rich>
      </c:tx>
      <c:layout>
        <c:manualLayout>
          <c:xMode val="edge"/>
          <c:yMode val="edge"/>
          <c:x val="0.2721251317295772"/>
          <c:y val="6.7948454656238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1">
                <a:lumMod val="65000"/>
                <a:alpha val="20000"/>
              </a:schemeClr>
            </a:solidFill>
            <a:ln>
              <a:noFill/>
            </a:ln>
          </c:spPr>
          <c:dPt>
            <c:idx val="0"/>
            <c:bubble3D val="0"/>
            <c:spPr>
              <a:gradFill>
                <a:gsLst>
                  <a:gs pos="0">
                    <a:srgbClr val="248018"/>
                  </a:gs>
                  <a:gs pos="74000">
                    <a:srgbClr val="73B26E"/>
                  </a:gs>
                </a:gsLst>
                <a:lin ang="8100000" scaled="0"/>
              </a:gradFill>
              <a:ln w="19050">
                <a:noFill/>
              </a:ln>
              <a:effectLst/>
            </c:spPr>
            <c:extLst>
              <c:ext xmlns:c16="http://schemas.microsoft.com/office/drawing/2014/chart" uri="{C3380CC4-5D6E-409C-BE32-E72D297353CC}">
                <c16:uniqueId val="{00000001-70FE-421C-B10C-4AA5A2ADA688}"/>
              </c:ext>
            </c:extLst>
          </c:dPt>
          <c:dPt>
            <c:idx val="1"/>
            <c:bubble3D val="0"/>
            <c:spPr>
              <a:solidFill>
                <a:schemeClr val="bg1">
                  <a:lumMod val="65000"/>
                  <a:alpha val="20000"/>
                </a:schemeClr>
              </a:solidFill>
              <a:ln w="19050">
                <a:noFill/>
              </a:ln>
              <a:effectLst/>
            </c:spPr>
            <c:extLst>
              <c:ext xmlns:c16="http://schemas.microsoft.com/office/drawing/2014/chart" uri="{C3380CC4-5D6E-409C-BE32-E72D297353CC}">
                <c16:uniqueId val="{00000003-70FE-421C-B10C-4AA5A2ADA688}"/>
              </c:ext>
            </c:extLst>
          </c:dPt>
          <c:val>
            <c:numRef>
              <c:f>Process!$G$2:$H$2</c:f>
              <c:numCache>
                <c:formatCode>0%</c:formatCode>
                <c:ptCount val="2"/>
                <c:pt idx="0">
                  <c:v>0.52708333333333335</c:v>
                </c:pt>
                <c:pt idx="1">
                  <c:v>0.47291666666666665</c:v>
                </c:pt>
              </c:numCache>
            </c:numRef>
          </c:val>
          <c:extLst>
            <c:ext xmlns:c16="http://schemas.microsoft.com/office/drawing/2014/chart" uri="{C3380CC4-5D6E-409C-BE32-E72D297353CC}">
              <c16:uniqueId val="{00000004-70FE-421C-B10C-4AA5A2ADA688}"/>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Indica</c:v>
          </c:tx>
          <c:spPr>
            <a:ln w="25400" cap="rnd">
              <a:noFill/>
              <a:round/>
            </a:ln>
            <a:effectLst>
              <a:glow rad="228600">
                <a:srgbClr val="73B26E">
                  <a:alpha val="56000"/>
                </a:srgbClr>
              </a:glow>
            </a:effectLst>
          </c:spPr>
          <c:marker>
            <c:symbol val="circle"/>
            <c:size val="5"/>
            <c:spPr>
              <a:solidFill>
                <a:schemeClr val="bg1"/>
              </a:solidFill>
              <a:ln w="9525">
                <a:noFill/>
              </a:ln>
              <a:effectLst>
                <a:glow rad="228600">
                  <a:srgbClr val="73B26E">
                    <a:alpha val="56000"/>
                  </a:srgbClr>
                </a:glow>
              </a:effectLst>
            </c:spPr>
          </c:marker>
          <c:xVal>
            <c:numRef>
              <c:f>Process!$I$2</c:f>
              <c:numCache>
                <c:formatCode>General</c:formatCode>
                <c:ptCount val="1"/>
                <c:pt idx="0">
                  <c:v>-0.6394390019805849</c:v>
                </c:pt>
              </c:numCache>
            </c:numRef>
          </c:xVal>
          <c:yVal>
            <c:numRef>
              <c:f>Process!$J$2</c:f>
              <c:numCache>
                <c:formatCode>General</c:formatCode>
                <c:ptCount val="1"/>
                <c:pt idx="0">
                  <c:v>-0.76884183207345935</c:v>
                </c:pt>
              </c:numCache>
            </c:numRef>
          </c:yVal>
          <c:smooth val="0"/>
          <c:extLst>
            <c:ext xmlns:c16="http://schemas.microsoft.com/office/drawing/2014/chart" uri="{C3380CC4-5D6E-409C-BE32-E72D297353CC}">
              <c16:uniqueId val="{00000005-70FE-421C-B10C-4AA5A2ADA688}"/>
            </c:ext>
          </c:extLst>
        </c:ser>
        <c:dLbls>
          <c:showLegendKey val="0"/>
          <c:showVal val="0"/>
          <c:showCatName val="0"/>
          <c:showSerName val="0"/>
          <c:showPercent val="0"/>
          <c:showBubbleSize val="0"/>
        </c:dLbls>
        <c:axId val="2052802880"/>
        <c:axId val="2052807680"/>
      </c:scatterChart>
      <c:valAx>
        <c:axId val="2052807680"/>
        <c:scaling>
          <c:orientation val="minMax"/>
          <c:max val="1.05"/>
          <c:min val="-1.05"/>
        </c:scaling>
        <c:delete val="1"/>
        <c:axPos val="l"/>
        <c:numFmt formatCode="General" sourceLinked="1"/>
        <c:majorTickMark val="out"/>
        <c:minorTickMark val="none"/>
        <c:tickLblPos val="nextTo"/>
        <c:crossAx val="2052802880"/>
        <c:crosses val="autoZero"/>
        <c:crossBetween val="midCat"/>
      </c:valAx>
      <c:valAx>
        <c:axId val="2052802880"/>
        <c:scaling>
          <c:orientation val="minMax"/>
          <c:max val="1.05"/>
          <c:min val="-1.05"/>
        </c:scaling>
        <c:delete val="1"/>
        <c:axPos val="b"/>
        <c:numFmt formatCode="General" sourceLinked="1"/>
        <c:majorTickMark val="out"/>
        <c:minorTickMark val="none"/>
        <c:tickLblPos val="nextTo"/>
        <c:crossAx val="2052807680"/>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0"/>
          <c:order val="0"/>
          <c:tx>
            <c:v>2022</c:v>
          </c:tx>
          <c:spPr>
            <a:gradFill>
              <a:gsLst>
                <a:gs pos="7000">
                  <a:srgbClr val="B3C739"/>
                </a:gs>
                <a:gs pos="90000">
                  <a:srgbClr val="F5FC96">
                    <a:alpha val="50000"/>
                  </a:srgbClr>
                </a:gs>
              </a:gsLst>
              <a:lin ang="5400000" scaled="1"/>
            </a:gradFill>
            <a:ln>
              <a:noFill/>
            </a:ln>
            <a:effectLst/>
          </c:spPr>
          <c:val>
            <c:numRef>
              <c:f>Process!$N$2:$N$7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FEC-419C-BB73-7CB07BD7E847}"/>
            </c:ext>
          </c:extLst>
        </c:ser>
        <c:ser>
          <c:idx val="1"/>
          <c:order val="1"/>
          <c:tx>
            <c:v>2023</c:v>
          </c:tx>
          <c:spPr>
            <a:gradFill>
              <a:gsLst>
                <a:gs pos="7000">
                  <a:srgbClr val="9949E9"/>
                </a:gs>
                <a:gs pos="90000">
                  <a:srgbClr val="E094FE">
                    <a:alpha val="49804"/>
                  </a:srgbClr>
                </a:gs>
              </a:gsLst>
              <a:lin ang="5400000" scaled="1"/>
            </a:gradFill>
            <a:ln w="25400">
              <a:noFill/>
            </a:ln>
            <a:effectLst/>
          </c:spPr>
          <c:val>
            <c:numRef>
              <c:f>Process!$O$2:$O$7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FEC-419C-BB73-7CB07BD7E847}"/>
            </c:ext>
          </c:extLst>
        </c:ser>
        <c:ser>
          <c:idx val="2"/>
          <c:order val="2"/>
          <c:tx>
            <c:v>2024</c:v>
          </c:tx>
          <c:spPr>
            <a:solidFill>
              <a:schemeClr val="accent3"/>
            </a:solidFill>
            <a:ln w="25400">
              <a:noFill/>
            </a:ln>
            <a:effectLst/>
          </c:spPr>
          <c:val>
            <c:numRef>
              <c:f>Process!$P$2:$P$7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3FEC-419C-BB73-7CB07BD7E847}"/>
            </c:ext>
          </c:extLst>
        </c:ser>
        <c:ser>
          <c:idx val="3"/>
          <c:order val="3"/>
          <c:tx>
            <c:v>2025</c:v>
          </c:tx>
          <c:spPr>
            <a:gradFill>
              <a:gsLst>
                <a:gs pos="7000">
                  <a:srgbClr val="C17195"/>
                </a:gs>
                <a:gs pos="100000">
                  <a:srgbClr val="E1B1DA">
                    <a:alpha val="50000"/>
                  </a:srgbClr>
                </a:gs>
              </a:gsLst>
              <a:lin ang="5400000" scaled="1"/>
            </a:gradFill>
            <a:ln w="25400">
              <a:noFill/>
            </a:ln>
            <a:effectLst/>
          </c:spPr>
          <c:val>
            <c:numRef>
              <c:f>Process!$Q$2:$Q$7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3FEC-419C-BB73-7CB07BD7E847}"/>
            </c:ext>
          </c:extLst>
        </c:ser>
        <c:ser>
          <c:idx val="4"/>
          <c:order val="4"/>
          <c:tx>
            <c:v>Level</c:v>
          </c:tx>
          <c:spPr>
            <a:gradFill>
              <a:gsLst>
                <a:gs pos="7000">
                  <a:srgbClr val="78A9BA"/>
                </a:gs>
                <a:gs pos="80000">
                  <a:srgbClr val="9FC7F3">
                    <a:alpha val="49804"/>
                  </a:srgbClr>
                </a:gs>
              </a:gsLst>
              <a:lin ang="5400000" scaled="1"/>
            </a:gradFill>
            <a:ln w="25400">
              <a:noFill/>
            </a:ln>
            <a:effectLst/>
          </c:spPr>
          <c:val>
            <c:numRef>
              <c:f>Process!$R$2:$R$7</c:f>
              <c:numCache>
                <c:formatCode>General</c:formatCode>
                <c:ptCount val="6"/>
                <c:pt idx="0">
                  <c:v>0</c:v>
                </c:pt>
                <c:pt idx="1">
                  <c:v>2777</c:v>
                </c:pt>
                <c:pt idx="2">
                  <c:v>3827</c:v>
                </c:pt>
                <c:pt idx="3">
                  <c:v>1125</c:v>
                </c:pt>
                <c:pt idx="4">
                  <c:v>1195</c:v>
                </c:pt>
                <c:pt idx="5">
                  <c:v>0</c:v>
                </c:pt>
              </c:numCache>
            </c:numRef>
          </c:val>
          <c:extLst>
            <c:ext xmlns:c16="http://schemas.microsoft.com/office/drawing/2014/chart" uri="{C3380CC4-5D6E-409C-BE32-E72D297353CC}">
              <c16:uniqueId val="{00000004-3FEC-419C-BB73-7CB07BD7E847}"/>
            </c:ext>
          </c:extLst>
        </c:ser>
        <c:dLbls>
          <c:showLegendKey val="0"/>
          <c:showVal val="0"/>
          <c:showCatName val="0"/>
          <c:showSerName val="0"/>
          <c:showPercent val="0"/>
          <c:showBubbleSize val="0"/>
        </c:dLbls>
        <c:axId val="82429568"/>
        <c:axId val="82421408"/>
      </c:areaChart>
      <c:scatterChart>
        <c:scatterStyle val="lineMarker"/>
        <c:varyColors val="0"/>
        <c:ser>
          <c:idx val="5"/>
          <c:order val="5"/>
          <c:tx>
            <c:v>Indica</c:v>
          </c:tx>
          <c:spPr>
            <a:ln w="25400" cap="rnd">
              <a:noFill/>
              <a:round/>
            </a:ln>
            <a:effectLst>
              <a:glow rad="203200">
                <a:schemeClr val="accent3">
                  <a:satMod val="175000"/>
                  <a:alpha val="50000"/>
                </a:schemeClr>
              </a:glow>
            </a:effectLst>
          </c:spPr>
          <c:marker>
            <c:symbol val="circle"/>
            <c:size val="2"/>
            <c:spPr>
              <a:solidFill>
                <a:schemeClr val="bg1"/>
              </a:solidFill>
              <a:ln w="9525">
                <a:noFill/>
              </a:ln>
              <a:effectLst>
                <a:glow rad="203200">
                  <a:schemeClr val="accent3">
                    <a:satMod val="175000"/>
                    <a:alpha val="50000"/>
                  </a:schemeClr>
                </a:glow>
              </a:effectLst>
            </c:spPr>
          </c:marker>
          <c:dLbls>
            <c:spPr>
              <a:noFill/>
              <a:ln>
                <a:noFill/>
              </a:ln>
              <a:effectLst>
                <a:outerShdw blurRad="50800" dist="50800" dir="5400000" algn="ctr" rotWithShape="0">
                  <a:schemeClr val="tx1">
                    <a:alpha val="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Process!$S$2:$S$7</c:f>
              <c:numCache>
                <c:formatCode>General</c:formatCode>
                <c:ptCount val="6"/>
                <c:pt idx="0">
                  <c:v>#N/A</c:v>
                </c:pt>
                <c:pt idx="1">
                  <c:v>2777</c:v>
                </c:pt>
                <c:pt idx="2">
                  <c:v>3827</c:v>
                </c:pt>
                <c:pt idx="3">
                  <c:v>1125</c:v>
                </c:pt>
                <c:pt idx="4">
                  <c:v>1195</c:v>
                </c:pt>
                <c:pt idx="5">
                  <c:v>#N/A</c:v>
                </c:pt>
              </c:numCache>
            </c:numRef>
          </c:yVal>
          <c:smooth val="0"/>
          <c:extLst>
            <c:ext xmlns:c16="http://schemas.microsoft.com/office/drawing/2014/chart" uri="{C3380CC4-5D6E-409C-BE32-E72D297353CC}">
              <c16:uniqueId val="{00000005-3FEC-419C-BB73-7CB07BD7E847}"/>
            </c:ext>
          </c:extLst>
        </c:ser>
        <c:dLbls>
          <c:showLegendKey val="0"/>
          <c:showVal val="0"/>
          <c:showCatName val="0"/>
          <c:showSerName val="0"/>
          <c:showPercent val="0"/>
          <c:showBubbleSize val="0"/>
        </c:dLbls>
        <c:axId val="82429568"/>
        <c:axId val="82421408"/>
      </c:scatterChart>
      <c:catAx>
        <c:axId val="82429568"/>
        <c:scaling>
          <c:orientation val="minMax"/>
        </c:scaling>
        <c:delete val="1"/>
        <c:axPos val="b"/>
        <c:majorTickMark val="out"/>
        <c:minorTickMark val="none"/>
        <c:tickLblPos val="nextTo"/>
        <c:crossAx val="82421408"/>
        <c:crosses val="autoZero"/>
        <c:auto val="1"/>
        <c:lblAlgn val="ctr"/>
        <c:lblOffset val="100"/>
        <c:noMultiLvlLbl val="0"/>
      </c:catAx>
      <c:valAx>
        <c:axId val="82421408"/>
        <c:scaling>
          <c:orientation val="minMax"/>
        </c:scaling>
        <c:delete val="1"/>
        <c:axPos val="l"/>
        <c:numFmt formatCode="General" sourceLinked="1"/>
        <c:majorTickMark val="none"/>
        <c:minorTickMark val="none"/>
        <c:tickLblPos val="nextTo"/>
        <c:crossAx val="8242956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Process!$M$11</c:f>
              <c:strCache>
                <c:ptCount val="1"/>
                <c:pt idx="0">
                  <c:v>Value</c:v>
                </c:pt>
              </c:strCache>
            </c:strRef>
          </c:tx>
          <c:spPr>
            <a:ln>
              <a:noFill/>
            </a:ln>
          </c:spPr>
          <c:dPt>
            <c:idx val="0"/>
            <c:bubble3D val="0"/>
            <c:spPr>
              <a:gradFill>
                <a:gsLst>
                  <a:gs pos="26000">
                    <a:schemeClr val="accent5">
                      <a:lumMod val="70000"/>
                      <a:lumOff val="30000"/>
                    </a:schemeClr>
                  </a:gs>
                  <a:gs pos="59000">
                    <a:schemeClr val="accent5">
                      <a:lumMod val="100000"/>
                    </a:schemeClr>
                  </a:gs>
                </a:gsLst>
                <a:lin ang="5400000" scaled="0"/>
              </a:gradFill>
              <a:ln w="19050">
                <a:noFill/>
              </a:ln>
              <a:effectLst/>
            </c:spPr>
            <c:extLst>
              <c:ext xmlns:c16="http://schemas.microsoft.com/office/drawing/2014/chart" uri="{C3380CC4-5D6E-409C-BE32-E72D297353CC}">
                <c16:uniqueId val="{00000001-C824-402F-96FF-DA3872C1C2FD}"/>
              </c:ext>
            </c:extLst>
          </c:dPt>
          <c:dPt>
            <c:idx val="1"/>
            <c:bubble3D val="0"/>
            <c:spPr>
              <a:gradFill>
                <a:gsLst>
                  <a:gs pos="72000">
                    <a:schemeClr val="accent6">
                      <a:lumMod val="97000"/>
                      <a:lumOff val="3000"/>
                    </a:schemeClr>
                  </a:gs>
                  <a:gs pos="1000">
                    <a:schemeClr val="accent6">
                      <a:lumMod val="64000"/>
                      <a:lumOff val="36000"/>
                    </a:schemeClr>
                  </a:gs>
                </a:gsLst>
                <a:lin ang="5400000" scaled="1"/>
              </a:gradFill>
              <a:ln w="19050">
                <a:noFill/>
              </a:ln>
              <a:effectLst/>
            </c:spPr>
            <c:extLst>
              <c:ext xmlns:c16="http://schemas.microsoft.com/office/drawing/2014/chart" uri="{C3380CC4-5D6E-409C-BE32-E72D297353CC}">
                <c16:uniqueId val="{00000003-C824-402F-96FF-DA3872C1C2FD}"/>
              </c:ext>
            </c:extLst>
          </c:dPt>
          <c:dPt>
            <c:idx val="2"/>
            <c:bubble3D val="0"/>
            <c:spPr>
              <a:gradFill>
                <a:gsLst>
                  <a:gs pos="12000">
                    <a:schemeClr val="accent4">
                      <a:lumMod val="100000"/>
                    </a:schemeClr>
                  </a:gs>
                  <a:gs pos="72000">
                    <a:schemeClr val="accent4">
                      <a:lumMod val="70000"/>
                      <a:lumOff val="30000"/>
                    </a:schemeClr>
                  </a:gs>
                </a:gsLst>
                <a:lin ang="5400000" scaled="1"/>
              </a:gradFill>
              <a:ln w="19050">
                <a:noFill/>
              </a:ln>
              <a:effectLst/>
            </c:spPr>
            <c:extLst>
              <c:ext xmlns:c16="http://schemas.microsoft.com/office/drawing/2014/chart" uri="{C3380CC4-5D6E-409C-BE32-E72D297353CC}">
                <c16:uniqueId val="{00000005-C824-402F-96FF-DA3872C1C2FD}"/>
              </c:ext>
            </c:extLst>
          </c:dPt>
          <c:dPt>
            <c:idx val="3"/>
            <c:bubble3D val="0"/>
            <c:spPr>
              <a:gradFill>
                <a:gsLst>
                  <a:gs pos="61000">
                    <a:schemeClr val="tx2">
                      <a:alpha val="50000"/>
                      <a:lumMod val="75000"/>
                      <a:lumOff val="25000"/>
                    </a:schemeClr>
                  </a:gs>
                  <a:gs pos="12000">
                    <a:schemeClr val="tx2">
                      <a:lumMod val="70000"/>
                      <a:lumOff val="30000"/>
                    </a:schemeClr>
                  </a:gs>
                </a:gsLst>
                <a:lin ang="5400000" scaled="1"/>
              </a:gradFill>
              <a:ln w="19050">
                <a:noFill/>
              </a:ln>
              <a:effectLst/>
            </c:spPr>
            <c:extLst>
              <c:ext xmlns:c16="http://schemas.microsoft.com/office/drawing/2014/chart" uri="{C3380CC4-5D6E-409C-BE32-E72D297353CC}">
                <c16:uniqueId val="{00000007-C824-402F-96FF-DA3872C1C2FD}"/>
              </c:ext>
            </c:extLst>
          </c:dPt>
          <c:dPt>
            <c:idx val="4"/>
            <c:bubble3D val="0"/>
            <c:spPr>
              <a:solidFill>
                <a:schemeClr val="accent5"/>
              </a:solidFill>
              <a:ln w="19050">
                <a:noFill/>
              </a:ln>
              <a:effectLst/>
            </c:spPr>
            <c:extLst>
              <c:ext xmlns:c16="http://schemas.microsoft.com/office/drawing/2014/chart" uri="{C3380CC4-5D6E-409C-BE32-E72D297353CC}">
                <c16:uniqueId val="{00000009-C824-402F-96FF-DA3872C1C2FD}"/>
              </c:ext>
            </c:extLst>
          </c:dPt>
          <c:val>
            <c:numRef>
              <c:f>Process!$M$12:$M$16</c:f>
              <c:numCache>
                <c:formatCode>0%</c:formatCode>
                <c:ptCount val="5"/>
                <c:pt idx="0">
                  <c:v>0.25582698341550875</c:v>
                </c:pt>
                <c:pt idx="1">
                  <c:v>0.2183998207082026</c:v>
                </c:pt>
                <c:pt idx="2">
                  <c:v>0.28776333482743166</c:v>
                </c:pt>
                <c:pt idx="3">
                  <c:v>0.23800986104885702</c:v>
                </c:pt>
                <c:pt idx="4" formatCode="0.00%">
                  <c:v>0</c:v>
                </c:pt>
              </c:numCache>
            </c:numRef>
          </c:val>
          <c:extLst>
            <c:ext xmlns:c16="http://schemas.microsoft.com/office/drawing/2014/chart" uri="{C3380CC4-5D6E-409C-BE32-E72D297353CC}">
              <c16:uniqueId val="{0000000A-C824-402F-96FF-DA3872C1C2FD}"/>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xy</c:v>
          </c:tx>
          <c:spPr>
            <a:ln w="25400" cap="rnd">
              <a:noFill/>
              <a:round/>
            </a:ln>
            <a:effectLst/>
          </c:spPr>
          <c:marker>
            <c:symbol val="circle"/>
            <c:size val="18"/>
            <c:spPr>
              <a:gradFill>
                <a:gsLst>
                  <a:gs pos="7000">
                    <a:schemeClr val="accent5">
                      <a:lumMod val="60000"/>
                      <a:lumOff val="40000"/>
                    </a:schemeClr>
                  </a:gs>
                  <a:gs pos="100000">
                    <a:srgbClr val="E1B1DA">
                      <a:alpha val="50000"/>
                    </a:srgbClr>
                  </a:gs>
                </a:gsLst>
                <a:lin ang="5400000" scaled="1"/>
              </a:gradFill>
              <a:ln w="9525">
                <a:noFill/>
              </a:ln>
              <a:effectLst/>
            </c:spPr>
          </c:marker>
          <c:dPt>
            <c:idx val="0"/>
            <c:marker>
              <c:symbol val="circle"/>
              <c:size val="18"/>
              <c:spPr>
                <a:solidFill>
                  <a:srgbClr val="980082"/>
                </a:solidFill>
                <a:ln w="9525">
                  <a:noFill/>
                </a:ln>
                <a:effectLst/>
              </c:spPr>
            </c:marker>
            <c:bubble3D val="0"/>
            <c:extLst>
              <c:ext xmlns:c16="http://schemas.microsoft.com/office/drawing/2014/chart" uri="{C3380CC4-5D6E-409C-BE32-E72D297353CC}">
                <c16:uniqueId val="{0000000B-C824-402F-96FF-DA3872C1C2FD}"/>
              </c:ext>
            </c:extLst>
          </c:dPt>
          <c:dPt>
            <c:idx val="1"/>
            <c:marker>
              <c:symbol val="circle"/>
              <c:size val="18"/>
              <c:spPr>
                <a:gradFill>
                  <a:gsLst>
                    <a:gs pos="7000">
                      <a:schemeClr val="accent6">
                        <a:lumMod val="100000"/>
                      </a:schemeClr>
                    </a:gs>
                    <a:gs pos="72000">
                      <a:schemeClr val="accent6">
                        <a:lumMod val="97000"/>
                        <a:lumOff val="3000"/>
                      </a:schemeClr>
                    </a:gs>
                  </a:gsLst>
                  <a:lin ang="5400000" scaled="1"/>
                </a:gradFill>
                <a:ln w="9525">
                  <a:noFill/>
                </a:ln>
                <a:effectLst/>
              </c:spPr>
            </c:marker>
            <c:bubble3D val="0"/>
            <c:extLst>
              <c:ext xmlns:c16="http://schemas.microsoft.com/office/drawing/2014/chart" uri="{C3380CC4-5D6E-409C-BE32-E72D297353CC}">
                <c16:uniqueId val="{0000000C-C824-402F-96FF-DA3872C1C2FD}"/>
              </c:ext>
            </c:extLst>
          </c:dPt>
          <c:dPt>
            <c:idx val="2"/>
            <c:marker>
              <c:symbol val="circle"/>
              <c:size val="18"/>
              <c:spPr>
                <a:gradFill>
                  <a:gsLst>
                    <a:gs pos="7000">
                      <a:schemeClr val="accent4">
                        <a:lumMod val="100000"/>
                      </a:schemeClr>
                    </a:gs>
                    <a:gs pos="100000">
                      <a:schemeClr val="accent4">
                        <a:lumMod val="100000"/>
                      </a:schemeClr>
                    </a:gs>
                  </a:gsLst>
                  <a:lin ang="5400000" scaled="1"/>
                </a:gradFill>
                <a:ln w="9525">
                  <a:noFill/>
                </a:ln>
                <a:effectLst/>
              </c:spPr>
            </c:marker>
            <c:bubble3D val="0"/>
            <c:extLst>
              <c:ext xmlns:c16="http://schemas.microsoft.com/office/drawing/2014/chart" uri="{C3380CC4-5D6E-409C-BE32-E72D297353CC}">
                <c16:uniqueId val="{0000000D-C824-402F-96FF-DA3872C1C2FD}"/>
              </c:ext>
            </c:extLst>
          </c:dPt>
          <c:dPt>
            <c:idx val="3"/>
            <c:marker>
              <c:symbol val="circle"/>
              <c:size val="18"/>
              <c:spPr>
                <a:gradFill>
                  <a:gsLst>
                    <a:gs pos="7000">
                      <a:schemeClr val="tx2">
                        <a:lumMod val="60000"/>
                        <a:lumOff val="40000"/>
                      </a:schemeClr>
                    </a:gs>
                    <a:gs pos="72000">
                      <a:schemeClr val="tx2">
                        <a:lumMod val="75000"/>
                        <a:lumOff val="25000"/>
                      </a:schemeClr>
                    </a:gs>
                  </a:gsLst>
                  <a:lin ang="5400000" scaled="1"/>
                </a:gradFill>
                <a:ln w="9525">
                  <a:noFill/>
                </a:ln>
                <a:effectLst/>
              </c:spPr>
            </c:marker>
            <c:bubble3D val="0"/>
            <c:extLst>
              <c:ext xmlns:c16="http://schemas.microsoft.com/office/drawing/2014/chart" uri="{C3380CC4-5D6E-409C-BE32-E72D297353CC}">
                <c16:uniqueId val="{0000000E-C824-402F-96FF-DA3872C1C2FD}"/>
              </c:ext>
            </c:extLst>
          </c:dPt>
          <c:xVal>
            <c:numRef>
              <c:f>Process!$P$12:$P$16</c:f>
              <c:numCache>
                <c:formatCode>#,##0</c:formatCode>
                <c:ptCount val="5"/>
                <c:pt idx="0">
                  <c:v>0.99932985498335392</c:v>
                </c:pt>
                <c:pt idx="1">
                  <c:v>0.16123092141975998</c:v>
                </c:pt>
                <c:pt idx="2">
                  <c:v>-0.99716356550489238</c:v>
                </c:pt>
                <c:pt idx="3">
                  <c:v>-2.45029690981724E-16</c:v>
                </c:pt>
                <c:pt idx="4" formatCode="General">
                  <c:v>#N/A</c:v>
                </c:pt>
              </c:numCache>
            </c:numRef>
          </c:xVal>
          <c:yVal>
            <c:numRef>
              <c:f>Process!$Q$12:$Q$16</c:f>
              <c:numCache>
                <c:formatCode>#,##0</c:formatCode>
                <c:ptCount val="5"/>
                <c:pt idx="0">
                  <c:v>-3.6603837762574545E-2</c:v>
                </c:pt>
                <c:pt idx="1">
                  <c:v>-0.9869167087338907</c:v>
                </c:pt>
                <c:pt idx="2">
                  <c:v>7.5265022617217486E-2</c:v>
                </c:pt>
                <c:pt idx="3">
                  <c:v>1</c:v>
                </c:pt>
                <c:pt idx="4" formatCode="General">
                  <c:v>#N/A</c:v>
                </c:pt>
              </c:numCache>
            </c:numRef>
          </c:yVal>
          <c:smooth val="0"/>
          <c:extLst>
            <c:ext xmlns:c16="http://schemas.microsoft.com/office/drawing/2014/chart" uri="{C3380CC4-5D6E-409C-BE32-E72D297353CC}">
              <c16:uniqueId val="{0000000F-C824-402F-96FF-DA3872C1C2FD}"/>
            </c:ext>
          </c:extLst>
        </c:ser>
        <c:dLbls>
          <c:showLegendKey val="0"/>
          <c:showVal val="0"/>
          <c:showCatName val="0"/>
          <c:showSerName val="0"/>
          <c:showPercent val="0"/>
          <c:showBubbleSize val="0"/>
        </c:dLbls>
        <c:axId val="79072640"/>
        <c:axId val="79097120"/>
      </c:scatterChart>
      <c:valAx>
        <c:axId val="79097120"/>
        <c:scaling>
          <c:orientation val="minMax"/>
          <c:max val="1.1500000000000001"/>
          <c:min val="-1.1400000000000001"/>
        </c:scaling>
        <c:delete val="1"/>
        <c:axPos val="l"/>
        <c:numFmt formatCode="#,##0" sourceLinked="1"/>
        <c:majorTickMark val="out"/>
        <c:minorTickMark val="none"/>
        <c:tickLblPos val="nextTo"/>
        <c:crossAx val="79072640"/>
        <c:crosses val="autoZero"/>
        <c:crossBetween val="midCat"/>
      </c:valAx>
      <c:valAx>
        <c:axId val="79072640"/>
        <c:scaling>
          <c:orientation val="minMax"/>
          <c:max val="1.1400000000000001"/>
          <c:min val="-1.1500000000000001"/>
        </c:scaling>
        <c:delete val="1"/>
        <c:axPos val="b"/>
        <c:numFmt formatCode="#,##0" sourceLinked="1"/>
        <c:majorTickMark val="out"/>
        <c:minorTickMark val="none"/>
        <c:tickLblPos val="nextTo"/>
        <c:crossAx val="79097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solidFill>
                <a:schemeClr val="bg1"/>
              </a:solidFill>
            </a:endParaRPr>
          </a:p>
        </c:rich>
      </c:tx>
      <c:layout>
        <c:manualLayout>
          <c:xMode val="edge"/>
          <c:yMode val="edge"/>
          <c:x val="0.17807829867295336"/>
          <c:y val="1.26167358517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Process!$M$18</c:f>
              <c:strCache>
                <c:ptCount val="1"/>
                <c:pt idx="0">
                  <c:v>Sales</c:v>
                </c:pt>
              </c:strCache>
            </c:strRef>
          </c:tx>
          <c:spPr>
            <a:solidFill>
              <a:schemeClr val="accent1"/>
            </a:solidFill>
            <a:ln>
              <a:noFill/>
            </a:ln>
            <a:effectLst/>
          </c:spPr>
          <c:invertIfNegative val="0"/>
          <c:dLbls>
            <c:spPr>
              <a:solidFill>
                <a:schemeClr val="bg2">
                  <a:lumMod val="25000"/>
                  <a:alpha val="93000"/>
                </a:schemeClr>
              </a:solidFill>
              <a:ln>
                <a:noFill/>
              </a:ln>
              <a:effectLst>
                <a:softEdge rad="0"/>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1"/>
            <c:spPr>
              <a:noFill/>
              <a:ln w="9525" cap="flat" cmpd="sng" algn="ctr">
                <a:noFill/>
                <a:round/>
              </a:ln>
              <a:effectLst>
                <a:outerShdw blurRad="50800" dist="50800" dir="5400000" algn="ctr" rotWithShape="0">
                  <a:srgbClr val="000000">
                    <a:alpha val="43137"/>
                  </a:srgbClr>
                </a:outerShdw>
              </a:effectLst>
            </c:spPr>
          </c:errBars>
          <c:val>
            <c:numRef>
              <c:f>Process!$M$19:$M$30</c:f>
              <c:numCache>
                <c:formatCode>General</c:formatCode>
                <c:ptCount val="12"/>
                <c:pt idx="0">
                  <c:v>846</c:v>
                </c:pt>
                <c:pt idx="1">
                  <c:v>738</c:v>
                </c:pt>
                <c:pt idx="2">
                  <c:v>710</c:v>
                </c:pt>
                <c:pt idx="3">
                  <c:v>549</c:v>
                </c:pt>
                <c:pt idx="4">
                  <c:v>637</c:v>
                </c:pt>
                <c:pt idx="5">
                  <c:v>633</c:v>
                </c:pt>
                <c:pt idx="6">
                  <c:v>788</c:v>
                </c:pt>
                <c:pt idx="7">
                  <c:v>759</c:v>
                </c:pt>
                <c:pt idx="8">
                  <c:v>851</c:v>
                </c:pt>
                <c:pt idx="9">
                  <c:v>1011</c:v>
                </c:pt>
                <c:pt idx="10">
                  <c:v>816</c:v>
                </c:pt>
                <c:pt idx="11">
                  <c:v>586</c:v>
                </c:pt>
              </c:numCache>
            </c:numRef>
          </c:val>
          <c:extLst>
            <c:ext xmlns:c16="http://schemas.microsoft.com/office/drawing/2014/chart" uri="{C3380CC4-5D6E-409C-BE32-E72D297353CC}">
              <c16:uniqueId val="{00000000-EAB0-4552-8DA2-AB5D64716C1E}"/>
            </c:ext>
          </c:extLst>
        </c:ser>
        <c:ser>
          <c:idx val="1"/>
          <c:order val="1"/>
          <c:tx>
            <c:strRef>
              <c:f>Process!$N$18</c:f>
              <c:strCache>
                <c:ptCount val="1"/>
                <c:pt idx="0">
                  <c:v>S Layer</c:v>
                </c:pt>
              </c:strCache>
            </c:strRef>
          </c:tx>
          <c:spPr>
            <a:solidFill>
              <a:schemeClr val="accent4">
                <a:lumMod val="60000"/>
                <a:lumOff val="40000"/>
              </a:schemeClr>
            </a:solidFill>
            <a:ln>
              <a:noFill/>
            </a:ln>
            <a:effectLst/>
          </c:spPr>
          <c:invertIfNegative val="0"/>
          <c:dLbls>
            <c:delete val="1"/>
          </c:dLbls>
          <c:errBars>
            <c:errBarType val="both"/>
            <c:errValType val="fixedVal"/>
            <c:noEndCap val="1"/>
            <c:val val="0.1"/>
            <c:spPr>
              <a:noFill/>
              <a:ln w="9525" cap="flat" cmpd="sng" algn="ctr">
                <a:solidFill>
                  <a:schemeClr val="tx1">
                    <a:lumMod val="65000"/>
                    <a:lumOff val="35000"/>
                  </a:schemeClr>
                </a:solidFill>
                <a:round/>
              </a:ln>
              <a:effectLst/>
            </c:spPr>
          </c:errBars>
          <c:val>
            <c:numRef>
              <c:f>Process!$N$19:$N$30</c:f>
              <c:numCache>
                <c:formatCode>General</c:formatCode>
                <c:ptCount val="12"/>
                <c:pt idx="0">
                  <c:v>846</c:v>
                </c:pt>
                <c:pt idx="1">
                  <c:v>738</c:v>
                </c:pt>
                <c:pt idx="2">
                  <c:v>710</c:v>
                </c:pt>
                <c:pt idx="3">
                  <c:v>549</c:v>
                </c:pt>
                <c:pt idx="4">
                  <c:v>637</c:v>
                </c:pt>
                <c:pt idx="5">
                  <c:v>633</c:v>
                </c:pt>
                <c:pt idx="6">
                  <c:v>788</c:v>
                </c:pt>
                <c:pt idx="7">
                  <c:v>759</c:v>
                </c:pt>
                <c:pt idx="8">
                  <c:v>851</c:v>
                </c:pt>
                <c:pt idx="9">
                  <c:v>1011</c:v>
                </c:pt>
                <c:pt idx="10">
                  <c:v>816</c:v>
                </c:pt>
                <c:pt idx="11">
                  <c:v>586</c:v>
                </c:pt>
              </c:numCache>
            </c:numRef>
          </c:val>
          <c:extLst>
            <c:ext xmlns:c16="http://schemas.microsoft.com/office/drawing/2014/chart" uri="{C3380CC4-5D6E-409C-BE32-E72D297353CC}">
              <c16:uniqueId val="{00000001-EAB0-4552-8DA2-AB5D64716C1E}"/>
            </c:ext>
          </c:extLst>
        </c:ser>
        <c:dLbls>
          <c:showLegendKey val="0"/>
          <c:showVal val="1"/>
          <c:showCatName val="0"/>
          <c:showSerName val="0"/>
          <c:showPercent val="0"/>
          <c:showBubbleSize val="0"/>
        </c:dLbls>
        <c:gapWidth val="150"/>
        <c:overlap val="100"/>
        <c:axId val="77259568"/>
        <c:axId val="77279728"/>
      </c:barChart>
      <c:lineChart>
        <c:grouping val="standard"/>
        <c:varyColors val="0"/>
        <c:ser>
          <c:idx val="2"/>
          <c:order val="2"/>
          <c:tx>
            <c:strRef>
              <c:f>Process!$O$18</c:f>
              <c:strCache>
                <c:ptCount val="1"/>
                <c:pt idx="0">
                  <c:v>Cost</c:v>
                </c:pt>
              </c:strCache>
            </c:strRef>
          </c:tx>
          <c:spPr>
            <a:ln w="15875" cap="rnd">
              <a:solidFill>
                <a:srgbClr val="980082"/>
              </a:solidFill>
              <a:round/>
            </a:ln>
            <a:effectLst/>
          </c:spPr>
          <c:marker>
            <c:symbol val="none"/>
          </c:marker>
          <c:dLbls>
            <c:delete val="1"/>
          </c:dLbls>
          <c:errBars>
            <c:errDir val="y"/>
            <c:errBarType val="both"/>
            <c:errValType val="stdErr"/>
            <c:noEndCap val="0"/>
            <c:spPr>
              <a:noFill/>
              <a:ln w="9525" cap="flat" cmpd="sng" algn="ctr">
                <a:solidFill>
                  <a:schemeClr val="tx1">
                    <a:lumMod val="65000"/>
                    <a:lumOff val="35000"/>
                  </a:schemeClr>
                </a:solidFill>
                <a:round/>
              </a:ln>
              <a:effectLst/>
            </c:spPr>
          </c:errBars>
          <c:val>
            <c:numRef>
              <c:f>Process!$O$19:$O$30</c:f>
              <c:numCache>
                <c:formatCode>General</c:formatCode>
                <c:ptCount val="12"/>
                <c:pt idx="0">
                  <c:v>290</c:v>
                </c:pt>
                <c:pt idx="1">
                  <c:v>232</c:v>
                </c:pt>
                <c:pt idx="2">
                  <c:v>198</c:v>
                </c:pt>
                <c:pt idx="3">
                  <c:v>223</c:v>
                </c:pt>
                <c:pt idx="4">
                  <c:v>218</c:v>
                </c:pt>
                <c:pt idx="5">
                  <c:v>247</c:v>
                </c:pt>
                <c:pt idx="6">
                  <c:v>215</c:v>
                </c:pt>
                <c:pt idx="7">
                  <c:v>228</c:v>
                </c:pt>
                <c:pt idx="8">
                  <c:v>245</c:v>
                </c:pt>
                <c:pt idx="9">
                  <c:v>233</c:v>
                </c:pt>
                <c:pt idx="10">
                  <c:v>282</c:v>
                </c:pt>
                <c:pt idx="11">
                  <c:v>291</c:v>
                </c:pt>
              </c:numCache>
            </c:numRef>
          </c:val>
          <c:smooth val="0"/>
          <c:extLst>
            <c:ext xmlns:c16="http://schemas.microsoft.com/office/drawing/2014/chart" uri="{C3380CC4-5D6E-409C-BE32-E72D297353CC}">
              <c16:uniqueId val="{00000002-EAB0-4552-8DA2-AB5D64716C1E}"/>
            </c:ext>
          </c:extLst>
        </c:ser>
        <c:dLbls>
          <c:showLegendKey val="0"/>
          <c:showVal val="1"/>
          <c:showCatName val="0"/>
          <c:showSerName val="0"/>
          <c:showPercent val="0"/>
          <c:showBubbleSize val="0"/>
        </c:dLbls>
        <c:marker val="1"/>
        <c:smooth val="0"/>
        <c:axId val="77259568"/>
        <c:axId val="77279728"/>
      </c:lineChart>
      <c:scatterChart>
        <c:scatterStyle val="lineMarker"/>
        <c:varyColors val="0"/>
        <c:ser>
          <c:idx val="3"/>
          <c:order val="3"/>
          <c:tx>
            <c:strRef>
              <c:f>Process!$P$18</c:f>
              <c:strCache>
                <c:ptCount val="1"/>
                <c:pt idx="0">
                  <c:v>Mark</c:v>
                </c:pt>
              </c:strCache>
            </c:strRef>
          </c:tx>
          <c:spPr>
            <a:ln w="25400" cap="rnd">
              <a:noFill/>
              <a:round/>
            </a:ln>
            <a:effectLst/>
          </c:spPr>
          <c:marker>
            <c:symbol val="circle"/>
            <c:size val="5"/>
            <c:spPr>
              <a:solidFill>
                <a:schemeClr val="accent4">
                  <a:lumMod val="60000"/>
                  <a:lumOff val="40000"/>
                </a:schemeClr>
              </a:solidFill>
              <a:ln w="9525">
                <a:solidFill>
                  <a:schemeClr val="bg1"/>
                </a:solidFill>
              </a:ln>
              <a:effectLst/>
            </c:spPr>
          </c:marker>
          <c:dLbls>
            <c:delete val="1"/>
          </c:dLbls>
          <c:errBars>
            <c:errDir val="y"/>
            <c:errBarType val="both"/>
            <c:errValType val="cust"/>
            <c:noEndCap val="0"/>
            <c:plus>
              <c:numLit>
                <c:formatCode>General</c:formatCode>
                <c:ptCount val="1"/>
                <c:pt idx="0">
                  <c:v>1</c:v>
                </c:pt>
              </c:numLit>
            </c:plus>
            <c:minus>
              <c:numRef>
                <c:f>Process!$P$19:$P$30</c:f>
                <c:numCache>
                  <c:formatCode>General</c:formatCode>
                  <c:ptCount val="12"/>
                  <c:pt idx="0">
                    <c:v>846</c:v>
                  </c:pt>
                  <c:pt idx="1">
                    <c:v>738</c:v>
                  </c:pt>
                  <c:pt idx="2">
                    <c:v>710</c:v>
                  </c:pt>
                  <c:pt idx="3">
                    <c:v>549</c:v>
                  </c:pt>
                  <c:pt idx="4">
                    <c:v>637</c:v>
                  </c:pt>
                  <c:pt idx="5">
                    <c:v>633</c:v>
                  </c:pt>
                  <c:pt idx="6">
                    <c:v>788</c:v>
                  </c:pt>
                  <c:pt idx="7">
                    <c:v>759</c:v>
                  </c:pt>
                  <c:pt idx="8">
                    <c:v>851</c:v>
                  </c:pt>
                  <c:pt idx="9">
                    <c:v>1011</c:v>
                  </c:pt>
                  <c:pt idx="10">
                    <c:v>816</c:v>
                  </c:pt>
                  <c:pt idx="11">
                    <c:v>586</c:v>
                  </c:pt>
                </c:numCache>
              </c:numRef>
            </c:minus>
            <c:spPr>
              <a:noFill/>
              <a:ln w="9525" cap="flat" cmpd="sng" algn="ctr">
                <a:solidFill>
                  <a:schemeClr val="bg1"/>
                </a:solidFill>
                <a:round/>
              </a:ln>
              <a:effectLst/>
            </c:spPr>
          </c:errBars>
          <c:yVal>
            <c:numRef>
              <c:f>Process!$P$19:$P$30</c:f>
              <c:numCache>
                <c:formatCode>General</c:formatCode>
                <c:ptCount val="12"/>
                <c:pt idx="0">
                  <c:v>846</c:v>
                </c:pt>
                <c:pt idx="1">
                  <c:v>738</c:v>
                </c:pt>
                <c:pt idx="2">
                  <c:v>710</c:v>
                </c:pt>
                <c:pt idx="3">
                  <c:v>549</c:v>
                </c:pt>
                <c:pt idx="4">
                  <c:v>637</c:v>
                </c:pt>
                <c:pt idx="5">
                  <c:v>633</c:v>
                </c:pt>
                <c:pt idx="6">
                  <c:v>788</c:v>
                </c:pt>
                <c:pt idx="7">
                  <c:v>759</c:v>
                </c:pt>
                <c:pt idx="8">
                  <c:v>851</c:v>
                </c:pt>
                <c:pt idx="9">
                  <c:v>1011</c:v>
                </c:pt>
                <c:pt idx="10">
                  <c:v>816</c:v>
                </c:pt>
                <c:pt idx="11">
                  <c:v>586</c:v>
                </c:pt>
              </c:numCache>
            </c:numRef>
          </c:yVal>
          <c:smooth val="0"/>
          <c:extLst>
            <c:ext xmlns:c16="http://schemas.microsoft.com/office/drawing/2014/chart" uri="{C3380CC4-5D6E-409C-BE32-E72D297353CC}">
              <c16:uniqueId val="{00000003-EAB0-4552-8DA2-AB5D64716C1E}"/>
            </c:ext>
          </c:extLst>
        </c:ser>
        <c:dLbls>
          <c:showLegendKey val="0"/>
          <c:showVal val="1"/>
          <c:showCatName val="0"/>
          <c:showSerName val="0"/>
          <c:showPercent val="0"/>
          <c:showBubbleSize val="0"/>
        </c:dLbls>
        <c:axId val="77259568"/>
        <c:axId val="77279728"/>
      </c:scatterChart>
      <c:catAx>
        <c:axId val="772595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79728"/>
        <c:crosses val="autoZero"/>
        <c:auto val="1"/>
        <c:lblAlgn val="ctr"/>
        <c:lblOffset val="100"/>
        <c:noMultiLvlLbl val="0"/>
      </c:catAx>
      <c:valAx>
        <c:axId val="77279728"/>
        <c:scaling>
          <c:orientation val="minMax"/>
        </c:scaling>
        <c:delete val="0"/>
        <c:axPos val="l"/>
        <c:majorGridlines>
          <c:spPr>
            <a:ln w="3175" cap="flat" cmpd="sng" algn="ctr">
              <a:solidFill>
                <a:schemeClr val="tx1">
                  <a:lumMod val="15000"/>
                  <a:lumOff val="8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radarChart>
        <c:radarStyle val="filled"/>
        <c:varyColors val="0"/>
        <c:ser>
          <c:idx val="0"/>
          <c:order val="0"/>
          <c:spPr>
            <a:solidFill>
              <a:schemeClr val="accent5">
                <a:lumMod val="60000"/>
                <a:lumOff val="40000"/>
                <a:alpha val="85000"/>
              </a:schemeClr>
            </a:solidFill>
            <a:ln>
              <a:solidFill>
                <a:schemeClr val="accent4">
                  <a:lumMod val="60000"/>
                  <a:lumOff val="40000"/>
                  <a:alpha val="99000"/>
                </a:schemeClr>
              </a:solidFill>
            </a:ln>
            <a:effectLst/>
          </c:spPr>
          <c:cat>
            <c:strRef>
              <c:f>Process!$U$2:$U$7</c:f>
              <c:strCache>
                <c:ptCount val="6"/>
                <c:pt idx="0">
                  <c:v>Bathroom</c:v>
                </c:pt>
                <c:pt idx="1">
                  <c:v>Bedroom</c:v>
                </c:pt>
                <c:pt idx="2">
                  <c:v>Kitchen</c:v>
                </c:pt>
                <c:pt idx="3">
                  <c:v>Living</c:v>
                </c:pt>
                <c:pt idx="4">
                  <c:v>Garden</c:v>
                </c:pt>
                <c:pt idx="5">
                  <c:v>Decor</c:v>
                </c:pt>
              </c:strCache>
            </c:strRef>
          </c:cat>
          <c:val>
            <c:numRef>
              <c:f>Process!$V$2:$V$7</c:f>
              <c:numCache>
                <c:formatCode>General</c:formatCode>
                <c:ptCount val="6"/>
                <c:pt idx="0">
                  <c:v>13575</c:v>
                </c:pt>
                <c:pt idx="1">
                  <c:v>14840</c:v>
                </c:pt>
                <c:pt idx="2">
                  <c:v>15033</c:v>
                </c:pt>
                <c:pt idx="3">
                  <c:v>16196</c:v>
                </c:pt>
                <c:pt idx="4">
                  <c:v>15026</c:v>
                </c:pt>
                <c:pt idx="5">
                  <c:v>14953</c:v>
                </c:pt>
              </c:numCache>
            </c:numRef>
          </c:val>
          <c:extLst>
            <c:ext xmlns:c16="http://schemas.microsoft.com/office/drawing/2014/chart" uri="{C3380CC4-5D6E-409C-BE32-E72D297353CC}">
              <c16:uniqueId val="{00000000-F1A2-47D8-AA53-F36EBDE0D091}"/>
            </c:ext>
          </c:extLst>
        </c:ser>
        <c:ser>
          <c:idx val="1"/>
          <c:order val="1"/>
          <c:spPr>
            <a:solidFill>
              <a:schemeClr val="accent4">
                <a:lumMod val="60000"/>
                <a:lumOff val="40000"/>
                <a:alpha val="85000"/>
              </a:schemeClr>
            </a:solidFill>
            <a:ln>
              <a:solidFill>
                <a:schemeClr val="accent4">
                  <a:lumMod val="60000"/>
                  <a:lumOff val="40000"/>
                  <a:alpha val="0"/>
                </a:schemeClr>
              </a:solidFill>
            </a:ln>
            <a:effectLst/>
          </c:spPr>
          <c:cat>
            <c:strRef>
              <c:f>Process!$U$2:$U$7</c:f>
              <c:strCache>
                <c:ptCount val="6"/>
                <c:pt idx="0">
                  <c:v>Bathroom</c:v>
                </c:pt>
                <c:pt idx="1">
                  <c:v>Bedroom</c:v>
                </c:pt>
                <c:pt idx="2">
                  <c:v>Kitchen</c:v>
                </c:pt>
                <c:pt idx="3">
                  <c:v>Living</c:v>
                </c:pt>
                <c:pt idx="4">
                  <c:v>Garden</c:v>
                </c:pt>
                <c:pt idx="5">
                  <c:v>Decor</c:v>
                </c:pt>
              </c:strCache>
            </c:strRef>
          </c:cat>
          <c:val>
            <c:numRef>
              <c:f>Process!$W$2:$W$7</c:f>
              <c:numCache>
                <c:formatCode>General</c:formatCode>
                <c:ptCount val="6"/>
                <c:pt idx="0">
                  <c:v>15376</c:v>
                </c:pt>
                <c:pt idx="1">
                  <c:v>15303</c:v>
                </c:pt>
                <c:pt idx="2">
                  <c:v>15865</c:v>
                </c:pt>
                <c:pt idx="3">
                  <c:v>14686</c:v>
                </c:pt>
                <c:pt idx="4">
                  <c:v>13453</c:v>
                </c:pt>
                <c:pt idx="5">
                  <c:v>14101</c:v>
                </c:pt>
              </c:numCache>
            </c:numRef>
          </c:val>
          <c:extLst>
            <c:ext xmlns:c16="http://schemas.microsoft.com/office/drawing/2014/chart" uri="{C3380CC4-5D6E-409C-BE32-E72D297353CC}">
              <c16:uniqueId val="{00000001-F1A2-47D8-AA53-F36EBDE0D091}"/>
            </c:ext>
          </c:extLst>
        </c:ser>
        <c:dLbls>
          <c:showLegendKey val="0"/>
          <c:showVal val="0"/>
          <c:showCatName val="0"/>
          <c:showSerName val="0"/>
          <c:showPercent val="0"/>
          <c:showBubbleSize val="0"/>
        </c:dLbls>
        <c:axId val="154693200"/>
        <c:axId val="154689360"/>
      </c:radarChart>
      <c:catAx>
        <c:axId val="15469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689360"/>
        <c:crosses val="autoZero"/>
        <c:auto val="1"/>
        <c:lblAlgn val="ctr"/>
        <c:lblOffset val="100"/>
        <c:noMultiLvlLbl val="0"/>
      </c:catAx>
      <c:valAx>
        <c:axId val="154689360"/>
        <c:scaling>
          <c:orientation val="minMax"/>
        </c:scaling>
        <c:delete val="1"/>
        <c:axPos val="l"/>
        <c:majorGridlines>
          <c:spPr>
            <a:ln w="3175" cap="flat" cmpd="sng" algn="ctr">
              <a:solidFill>
                <a:schemeClr val="tx1">
                  <a:lumMod val="15000"/>
                  <a:lumOff val="85000"/>
                  <a:alpha val="50000"/>
                </a:schemeClr>
              </a:solidFill>
              <a:round/>
            </a:ln>
            <a:effectLst/>
          </c:spPr>
        </c:majorGridlines>
        <c:numFmt formatCode="General" sourceLinked="1"/>
        <c:majorTickMark val="none"/>
        <c:minorTickMark val="none"/>
        <c:tickLblPos val="nextTo"/>
        <c:crossAx val="15469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spPr>
            <a:solidFill>
              <a:schemeClr val="accent4">
                <a:lumMod val="60000"/>
                <a:lumOff val="40000"/>
              </a:schemeClr>
            </a:solidFill>
            <a:ln>
              <a:noFill/>
            </a:ln>
            <a:effectLst/>
          </c:spPr>
          <c:invertIfNegative val="0"/>
          <c:dLbls>
            <c:delete val="1"/>
          </c:dLbls>
          <c:cat>
            <c:strRef>
              <c:f>Process!$V$23:$V$27</c:f>
              <c:strCache>
                <c:ptCount val="5"/>
                <c:pt idx="0">
                  <c:v>Product 3</c:v>
                </c:pt>
                <c:pt idx="1">
                  <c:v>Product 7</c:v>
                </c:pt>
                <c:pt idx="2">
                  <c:v>Product 2</c:v>
                </c:pt>
                <c:pt idx="3">
                  <c:v>Product 1</c:v>
                </c:pt>
                <c:pt idx="4">
                  <c:v>Product 9</c:v>
                </c:pt>
              </c:strCache>
            </c:strRef>
          </c:cat>
          <c:val>
            <c:numRef>
              <c:f>Process!$W$23:$W$27</c:f>
              <c:numCache>
                <c:formatCode>_(* #,##0_);_(* \(#,##0\);_(* "-"??_);_(@_)</c:formatCode>
                <c:ptCount val="5"/>
                <c:pt idx="0">
                  <c:v>44257</c:v>
                </c:pt>
                <c:pt idx="1">
                  <c:v>33084</c:v>
                </c:pt>
                <c:pt idx="2">
                  <c:v>30756</c:v>
                </c:pt>
                <c:pt idx="3">
                  <c:v>29833</c:v>
                </c:pt>
                <c:pt idx="4">
                  <c:v>29292</c:v>
                </c:pt>
              </c:numCache>
            </c:numRef>
          </c:val>
          <c:extLst>
            <c:ext xmlns:c16="http://schemas.microsoft.com/office/drawing/2014/chart" uri="{C3380CC4-5D6E-409C-BE32-E72D297353CC}">
              <c16:uniqueId val="{00000000-3136-4E06-9E24-175B4F6DFCF7}"/>
            </c:ext>
          </c:extLst>
        </c:ser>
        <c:ser>
          <c:idx val="1"/>
          <c:order val="1"/>
          <c:spPr>
            <a:solidFill>
              <a:schemeClr val="tx1">
                <a:lumMod val="75000"/>
                <a:lumOff val="25000"/>
              </a:schemeClr>
            </a:solidFill>
            <a:ln>
              <a:noFill/>
            </a:ln>
            <a:effectLst/>
          </c:spPr>
          <c:invertIfNegative val="0"/>
          <c:dLbls>
            <c:dLbl>
              <c:idx val="0"/>
              <c:tx>
                <c:rich>
                  <a:bodyPr/>
                  <a:lstStyle/>
                  <a:p>
                    <a:fld id="{1879A453-CBE8-4024-9EE5-87C8C9553977}" type="CELLRANGE">
                      <a:rPr lang="en-US"/>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136-4E06-9E24-175B4F6DFCF7}"/>
                </c:ext>
              </c:extLst>
            </c:dLbl>
            <c:dLbl>
              <c:idx val="1"/>
              <c:tx>
                <c:rich>
                  <a:bodyPr/>
                  <a:lstStyle/>
                  <a:p>
                    <a:fld id="{70C23EC7-A60D-412B-9D31-2E8BA3FD1BFD}"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136-4E06-9E24-175B4F6DFCF7}"/>
                </c:ext>
              </c:extLst>
            </c:dLbl>
            <c:dLbl>
              <c:idx val="2"/>
              <c:tx>
                <c:rich>
                  <a:bodyPr/>
                  <a:lstStyle/>
                  <a:p>
                    <a:fld id="{86AEEA0A-0AE1-4F35-847C-8AEB90F50AF8}"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36-4E06-9E24-175B4F6DFCF7}"/>
                </c:ext>
              </c:extLst>
            </c:dLbl>
            <c:dLbl>
              <c:idx val="3"/>
              <c:tx>
                <c:rich>
                  <a:bodyPr/>
                  <a:lstStyle/>
                  <a:p>
                    <a:fld id="{3CA9987F-FDB4-4975-8121-A9460B0BFEA1}"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36-4E06-9E24-175B4F6DFCF7}"/>
                </c:ext>
              </c:extLst>
            </c:dLbl>
            <c:dLbl>
              <c:idx val="4"/>
              <c:tx>
                <c:rich>
                  <a:bodyPr/>
                  <a:lstStyle/>
                  <a:p>
                    <a:fld id="{BAF70B13-B6C7-46AA-8C4A-78751B2807B0}"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136-4E06-9E24-175B4F6DFC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Process!$V$23:$V$27</c:f>
              <c:strCache>
                <c:ptCount val="5"/>
                <c:pt idx="0">
                  <c:v>Product 3</c:v>
                </c:pt>
                <c:pt idx="1">
                  <c:v>Product 7</c:v>
                </c:pt>
                <c:pt idx="2">
                  <c:v>Product 2</c:v>
                </c:pt>
                <c:pt idx="3">
                  <c:v>Product 1</c:v>
                </c:pt>
                <c:pt idx="4">
                  <c:v>Product 9</c:v>
                </c:pt>
              </c:strCache>
            </c:strRef>
          </c:cat>
          <c:val>
            <c:numRef>
              <c:f>Process!$X$23:$X$27</c:f>
              <c:numCache>
                <c:formatCode>General</c:formatCode>
                <c:ptCount val="5"/>
                <c:pt idx="0">
                  <c:v>13277.099999999999</c:v>
                </c:pt>
                <c:pt idx="1">
                  <c:v>24450.1</c:v>
                </c:pt>
                <c:pt idx="2">
                  <c:v>26778.1</c:v>
                </c:pt>
                <c:pt idx="3">
                  <c:v>27701.1</c:v>
                </c:pt>
                <c:pt idx="4">
                  <c:v>28242.1</c:v>
                </c:pt>
              </c:numCache>
            </c:numRef>
          </c:val>
          <c:extLst>
            <c:ext xmlns:c15="http://schemas.microsoft.com/office/drawing/2012/chart" uri="{02D57815-91ED-43cb-92C2-25804820EDAC}">
              <c15:datalabelsRange>
                <c15:f>Process!$W$23:$W$27</c15:f>
                <c15:dlblRangeCache>
                  <c:ptCount val="5"/>
                  <c:pt idx="0">
                    <c:v> 44,257 </c:v>
                  </c:pt>
                  <c:pt idx="1">
                    <c:v> 33,084 </c:v>
                  </c:pt>
                  <c:pt idx="2">
                    <c:v> 30,756 </c:v>
                  </c:pt>
                  <c:pt idx="3">
                    <c:v> 29,833 </c:v>
                  </c:pt>
                  <c:pt idx="4">
                    <c:v> 29,292 </c:v>
                  </c:pt>
                </c15:dlblRangeCache>
              </c15:datalabelsRange>
            </c:ext>
            <c:ext xmlns:c16="http://schemas.microsoft.com/office/drawing/2014/chart" uri="{C3380CC4-5D6E-409C-BE32-E72D297353CC}">
              <c16:uniqueId val="{00000006-3136-4E06-9E24-175B4F6DFCF7}"/>
            </c:ext>
          </c:extLst>
        </c:ser>
        <c:dLbls>
          <c:dLblPos val="ctr"/>
          <c:showLegendKey val="0"/>
          <c:showVal val="1"/>
          <c:showCatName val="0"/>
          <c:showSerName val="0"/>
          <c:showPercent val="0"/>
          <c:showBubbleSize val="0"/>
        </c:dLbls>
        <c:gapWidth val="150"/>
        <c:overlap val="100"/>
        <c:axId val="77274448"/>
        <c:axId val="152426864"/>
      </c:barChart>
      <c:catAx>
        <c:axId val="7727444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26864"/>
        <c:crosses val="autoZero"/>
        <c:auto val="1"/>
        <c:lblAlgn val="ctr"/>
        <c:lblOffset val="100"/>
        <c:noMultiLvlLbl val="0"/>
      </c:catAx>
      <c:valAx>
        <c:axId val="152426864"/>
        <c:scaling>
          <c:orientation val="minMax"/>
        </c:scaling>
        <c:delete val="1"/>
        <c:axPos val="t"/>
        <c:numFmt formatCode="0%" sourceLinked="1"/>
        <c:majorTickMark val="none"/>
        <c:minorTickMark val="none"/>
        <c:tickLblPos val="nextTo"/>
        <c:crossAx val="7727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Average</a:t>
            </a:r>
            <a:r>
              <a:rPr lang="en-IN" baseline="0">
                <a:solidFill>
                  <a:schemeClr val="bg1"/>
                </a:solidFill>
              </a:rPr>
              <a:t>  Check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2"/>
          <c:order val="2"/>
          <c:tx>
            <c:v>Area</c:v>
          </c:tx>
          <c:spPr>
            <a:gradFill>
              <a:gsLst>
                <a:gs pos="0">
                  <a:schemeClr val="accent4">
                    <a:lumMod val="60000"/>
                    <a:lumOff val="40000"/>
                  </a:schemeClr>
                </a:gs>
                <a:gs pos="68000">
                  <a:schemeClr val="tx1">
                    <a:lumMod val="85000"/>
                    <a:lumOff val="15000"/>
                  </a:schemeClr>
                </a:gs>
              </a:gsLst>
              <a:lin ang="2700000" scaled="0"/>
            </a:gradFill>
            <a:ln>
              <a:noFill/>
            </a:ln>
            <a:effectLst/>
          </c:spPr>
          <c:val>
            <c:numRef>
              <c:f>Process!$AG$3:$AG$14</c:f>
              <c:numCache>
                <c:formatCode>General</c:formatCode>
                <c:ptCount val="12"/>
                <c:pt idx="0">
                  <c:v>809</c:v>
                </c:pt>
                <c:pt idx="1">
                  <c:v>1036</c:v>
                </c:pt>
                <c:pt idx="2">
                  <c:v>920</c:v>
                </c:pt>
                <c:pt idx="3">
                  <c:v>1105</c:v>
                </c:pt>
                <c:pt idx="4">
                  <c:v>1043</c:v>
                </c:pt>
                <c:pt idx="5">
                  <c:v>1012</c:v>
                </c:pt>
                <c:pt idx="6">
                  <c:v>1173</c:v>
                </c:pt>
                <c:pt idx="7">
                  <c:v>1144</c:v>
                </c:pt>
                <c:pt idx="8">
                  <c:v>1226</c:v>
                </c:pt>
                <c:pt idx="9">
                  <c:v>1421</c:v>
                </c:pt>
                <c:pt idx="10">
                  <c:v>1339</c:v>
                </c:pt>
                <c:pt idx="11">
                  <c:v>1436</c:v>
                </c:pt>
              </c:numCache>
            </c:numRef>
          </c:val>
          <c:extLst>
            <c:ext xmlns:c16="http://schemas.microsoft.com/office/drawing/2014/chart" uri="{C3380CC4-5D6E-409C-BE32-E72D297353CC}">
              <c16:uniqueId val="{00000002-F805-473C-BDF5-E06411A567BA}"/>
            </c:ext>
          </c:extLst>
        </c:ser>
        <c:dLbls>
          <c:showLegendKey val="0"/>
          <c:showVal val="0"/>
          <c:showCatName val="0"/>
          <c:showSerName val="0"/>
          <c:showPercent val="0"/>
          <c:showBubbleSize val="0"/>
        </c:dLbls>
        <c:axId val="175882656"/>
        <c:axId val="175887936"/>
      </c:areaChart>
      <c:lineChart>
        <c:grouping val="standard"/>
        <c:varyColors val="0"/>
        <c:ser>
          <c:idx val="0"/>
          <c:order val="0"/>
          <c:tx>
            <c:strRef>
              <c:f>Process!$AF$2</c:f>
              <c:strCache>
                <c:ptCount val="1"/>
                <c:pt idx="0">
                  <c:v>Value</c:v>
                </c:pt>
              </c:strCache>
            </c:strRef>
          </c:tx>
          <c:spPr>
            <a:ln w="28575" cap="rnd">
              <a:noFill/>
              <a:round/>
            </a:ln>
            <a:effectLst/>
          </c:spPr>
          <c:marker>
            <c:symbol val="none"/>
          </c:marker>
          <c:val>
            <c:numRef>
              <c:f>Process!$AF$3:$AF$14</c:f>
              <c:numCache>
                <c:formatCode>General</c:formatCode>
                <c:ptCount val="12"/>
                <c:pt idx="0">
                  <c:v>809</c:v>
                </c:pt>
                <c:pt idx="1">
                  <c:v>1036</c:v>
                </c:pt>
                <c:pt idx="2">
                  <c:v>920</c:v>
                </c:pt>
                <c:pt idx="3">
                  <c:v>1105</c:v>
                </c:pt>
                <c:pt idx="4">
                  <c:v>1043</c:v>
                </c:pt>
                <c:pt idx="5">
                  <c:v>1012</c:v>
                </c:pt>
                <c:pt idx="6">
                  <c:v>1173</c:v>
                </c:pt>
                <c:pt idx="7">
                  <c:v>1144</c:v>
                </c:pt>
                <c:pt idx="8">
                  <c:v>1226</c:v>
                </c:pt>
                <c:pt idx="9">
                  <c:v>1421</c:v>
                </c:pt>
                <c:pt idx="10">
                  <c:v>1339</c:v>
                </c:pt>
                <c:pt idx="11">
                  <c:v>1436</c:v>
                </c:pt>
              </c:numCache>
            </c:numRef>
          </c:val>
          <c:smooth val="0"/>
          <c:extLst>
            <c:ext xmlns:c16="http://schemas.microsoft.com/office/drawing/2014/chart" uri="{C3380CC4-5D6E-409C-BE32-E72D297353CC}">
              <c16:uniqueId val="{00000000-F805-473C-BDF5-E06411A567BA}"/>
            </c:ext>
          </c:extLst>
        </c:ser>
        <c:ser>
          <c:idx val="1"/>
          <c:order val="1"/>
          <c:tx>
            <c:strRef>
              <c:f>Process!$AG$2</c:f>
              <c:strCache>
                <c:ptCount val="1"/>
                <c:pt idx="0">
                  <c:v>Mark</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12700">
                <a:solidFill>
                  <a:schemeClr val="tx1"/>
                </a:solidFill>
              </a:ln>
              <a:effectLst/>
            </c:spPr>
          </c:marker>
          <c:val>
            <c:numRef>
              <c:f>Process!$AG$3:$AG$14</c:f>
              <c:numCache>
                <c:formatCode>General</c:formatCode>
                <c:ptCount val="12"/>
                <c:pt idx="0">
                  <c:v>809</c:v>
                </c:pt>
                <c:pt idx="1">
                  <c:v>1036</c:v>
                </c:pt>
                <c:pt idx="2">
                  <c:v>920</c:v>
                </c:pt>
                <c:pt idx="3">
                  <c:v>1105</c:v>
                </c:pt>
                <c:pt idx="4">
                  <c:v>1043</c:v>
                </c:pt>
                <c:pt idx="5">
                  <c:v>1012</c:v>
                </c:pt>
                <c:pt idx="6">
                  <c:v>1173</c:v>
                </c:pt>
                <c:pt idx="7">
                  <c:v>1144</c:v>
                </c:pt>
                <c:pt idx="8">
                  <c:v>1226</c:v>
                </c:pt>
                <c:pt idx="9">
                  <c:v>1421</c:v>
                </c:pt>
                <c:pt idx="10">
                  <c:v>1339</c:v>
                </c:pt>
                <c:pt idx="11">
                  <c:v>1436</c:v>
                </c:pt>
              </c:numCache>
            </c:numRef>
          </c:val>
          <c:smooth val="0"/>
          <c:extLst>
            <c:ext xmlns:c16="http://schemas.microsoft.com/office/drawing/2014/chart" uri="{C3380CC4-5D6E-409C-BE32-E72D297353CC}">
              <c16:uniqueId val="{00000001-F805-473C-BDF5-E06411A567BA}"/>
            </c:ext>
          </c:extLst>
        </c:ser>
        <c:dLbls>
          <c:showLegendKey val="0"/>
          <c:showVal val="0"/>
          <c:showCatName val="0"/>
          <c:showSerName val="0"/>
          <c:showPercent val="0"/>
          <c:showBubbleSize val="0"/>
        </c:dLbls>
        <c:marker val="1"/>
        <c:smooth val="0"/>
        <c:axId val="175882656"/>
        <c:axId val="175887936"/>
      </c:lineChart>
      <c:catAx>
        <c:axId val="1758826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7936"/>
        <c:crosses val="autoZero"/>
        <c:auto val="1"/>
        <c:lblAlgn val="ctr"/>
        <c:lblOffset val="100"/>
        <c:noMultiLvlLbl val="0"/>
      </c:catAx>
      <c:valAx>
        <c:axId val="17588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Sales</a:t>
            </a:r>
            <a:r>
              <a:rPr lang="en-IN" baseline="0">
                <a:solidFill>
                  <a:schemeClr val="bg1"/>
                </a:solidFill>
              </a:rPr>
              <a:t> &amp; Inventory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Process!$AO$17</c:f>
              <c:strCache>
                <c:ptCount val="1"/>
                <c:pt idx="0">
                  <c:v>Left</c:v>
                </c:pt>
              </c:strCache>
            </c:strRef>
          </c:tx>
          <c:spPr>
            <a:solidFill>
              <a:schemeClr val="bg2">
                <a:lumMod val="25000"/>
              </a:schemeClr>
            </a:solidFill>
            <a:ln>
              <a:noFill/>
            </a:ln>
            <a:effectLst/>
          </c:spPr>
          <c:invertIfNegative val="0"/>
          <c:dLbls>
            <c:dLbl>
              <c:idx val="0"/>
              <c:tx>
                <c:rich>
                  <a:bodyPr/>
                  <a:lstStyle/>
                  <a:p>
                    <a:fld id="{48CA5BEB-797B-4668-8A57-98E357AD1C10}"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DFE-45AD-AD37-042CD977E48C}"/>
                </c:ext>
              </c:extLst>
            </c:dLbl>
            <c:dLbl>
              <c:idx val="1"/>
              <c:tx>
                <c:rich>
                  <a:bodyPr/>
                  <a:lstStyle/>
                  <a:p>
                    <a:fld id="{319D8041-51BF-4394-BEDD-F88815A5868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DFE-45AD-AD37-042CD977E48C}"/>
                </c:ext>
              </c:extLst>
            </c:dLbl>
            <c:dLbl>
              <c:idx val="2"/>
              <c:tx>
                <c:rich>
                  <a:bodyPr/>
                  <a:lstStyle/>
                  <a:p>
                    <a:fld id="{FAF4D735-72D0-45DF-872D-8C75CE452FE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DFE-45AD-AD37-042CD977E48C}"/>
                </c:ext>
              </c:extLst>
            </c:dLbl>
            <c:dLbl>
              <c:idx val="3"/>
              <c:tx>
                <c:rich>
                  <a:bodyPr/>
                  <a:lstStyle/>
                  <a:p>
                    <a:fld id="{A1DE0FBB-833C-4A98-8733-212824FCD3F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DFE-45AD-AD37-042CD977E48C}"/>
                </c:ext>
              </c:extLst>
            </c:dLbl>
            <c:dLbl>
              <c:idx val="4"/>
              <c:tx>
                <c:rich>
                  <a:bodyPr/>
                  <a:lstStyle/>
                  <a:p>
                    <a:fld id="{0D55FF7F-AD41-4F88-AF19-8B88A1FF6DF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DFE-45AD-AD37-042CD977E48C}"/>
                </c:ext>
              </c:extLst>
            </c:dLbl>
            <c:dLbl>
              <c:idx val="5"/>
              <c:tx>
                <c:rich>
                  <a:bodyPr/>
                  <a:lstStyle/>
                  <a:p>
                    <a:fld id="{D11D32B6-00C0-48E7-A9AF-2D845AA9E5F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DFE-45AD-AD37-042CD977E4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Process!$AO$18:$AO$23</c:f>
              <c:numCache>
                <c:formatCode>General</c:formatCode>
                <c:ptCount val="6"/>
                <c:pt idx="0">
                  <c:v>6809.3999999999978</c:v>
                </c:pt>
                <c:pt idx="1">
                  <c:v>7298.3999999999978</c:v>
                </c:pt>
                <c:pt idx="2">
                  <c:v>7371.3999999999978</c:v>
                </c:pt>
                <c:pt idx="3">
                  <c:v>7988.3999999999978</c:v>
                </c:pt>
                <c:pt idx="4">
                  <c:v>8573.3999999999978</c:v>
                </c:pt>
                <c:pt idx="5">
                  <c:v>9221.3999999999978</c:v>
                </c:pt>
              </c:numCache>
            </c:numRef>
          </c:val>
          <c:extLst>
            <c:ext xmlns:c15="http://schemas.microsoft.com/office/drawing/2012/chart" uri="{02D57815-91ED-43cb-92C2-25804820EDAC}">
              <c15:datalabelsRange>
                <c15:f>Process!$AP$18:$AP$23</c15:f>
                <c15:dlblRangeCache>
                  <c:ptCount val="6"/>
                  <c:pt idx="0">
                    <c:v> 15,865 </c:v>
                  </c:pt>
                  <c:pt idx="1">
                    <c:v> 15,376 </c:v>
                  </c:pt>
                  <c:pt idx="2">
                    <c:v> 15,303 </c:v>
                  </c:pt>
                  <c:pt idx="3">
                    <c:v> 14,686 </c:v>
                  </c:pt>
                  <c:pt idx="4">
                    <c:v> 14,101 </c:v>
                  </c:pt>
                  <c:pt idx="5">
                    <c:v> 13,453 </c:v>
                  </c:pt>
                </c15:dlblRangeCache>
              </c15:datalabelsRange>
            </c:ext>
            <c:ext xmlns:c16="http://schemas.microsoft.com/office/drawing/2014/chart" uri="{C3380CC4-5D6E-409C-BE32-E72D297353CC}">
              <c16:uniqueId val="{00000000-FDFE-45AD-AD37-042CD977E48C}"/>
            </c:ext>
          </c:extLst>
        </c:ser>
        <c:ser>
          <c:idx val="1"/>
          <c:order val="1"/>
          <c:tx>
            <c:strRef>
              <c:f>Process!$AP$17</c:f>
              <c:strCache>
                <c:ptCount val="1"/>
                <c:pt idx="0">
                  <c:v>Sales</c:v>
                </c:pt>
              </c:strCache>
            </c:strRef>
          </c:tx>
          <c:spPr>
            <a:gradFill>
              <a:gsLst>
                <a:gs pos="0">
                  <a:schemeClr val="accent1">
                    <a:lumMod val="60000"/>
                    <a:lumOff val="40000"/>
                  </a:schemeClr>
                </a:gs>
                <a:gs pos="100000">
                  <a:schemeClr val="tx1">
                    <a:lumMod val="65000"/>
                    <a:lumOff val="35000"/>
                    <a:alpha val="50000"/>
                  </a:schemeClr>
                </a:gs>
              </a:gsLst>
              <a:lin ang="0" scaled="0"/>
            </a:gradFill>
            <a:ln>
              <a:noFill/>
            </a:ln>
            <a:effectLst/>
          </c:spPr>
          <c:invertIfNegative val="0"/>
          <c:val>
            <c:numRef>
              <c:f>Process!$AP$18:$AP$23</c:f>
              <c:numCache>
                <c:formatCode>_(* #,##0_);_(* \(#,##0\);_(* "-"??_);_(@_)</c:formatCode>
                <c:ptCount val="6"/>
                <c:pt idx="0">
                  <c:v>15865</c:v>
                </c:pt>
                <c:pt idx="1">
                  <c:v>15376</c:v>
                </c:pt>
                <c:pt idx="2">
                  <c:v>15303</c:v>
                </c:pt>
                <c:pt idx="3">
                  <c:v>14686</c:v>
                </c:pt>
                <c:pt idx="4">
                  <c:v>14101</c:v>
                </c:pt>
                <c:pt idx="5">
                  <c:v>13453</c:v>
                </c:pt>
              </c:numCache>
            </c:numRef>
          </c:val>
          <c:extLst>
            <c:ext xmlns:c16="http://schemas.microsoft.com/office/drawing/2014/chart" uri="{C3380CC4-5D6E-409C-BE32-E72D297353CC}">
              <c16:uniqueId val="{00000001-FDFE-45AD-AD37-042CD977E48C}"/>
            </c:ext>
          </c:extLst>
        </c:ser>
        <c:ser>
          <c:idx val="2"/>
          <c:order val="2"/>
          <c:tx>
            <c:strRef>
              <c:f>Process!$AQ$17</c:f>
              <c:strCache>
                <c:ptCount val="1"/>
                <c:pt idx="0">
                  <c:v>Middle</c:v>
                </c:pt>
              </c:strCache>
            </c:strRef>
          </c:tx>
          <c:spPr>
            <a:noFill/>
            <a:ln>
              <a:noFill/>
            </a:ln>
            <a:effectLst/>
          </c:spPr>
          <c:invertIfNegative val="0"/>
          <c:dLbls>
            <c:dLbl>
              <c:idx val="0"/>
              <c:tx>
                <c:rich>
                  <a:bodyPr/>
                  <a:lstStyle/>
                  <a:p>
                    <a:fld id="{2D786888-BED0-4885-847A-1D278DB8E154}"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DFE-45AD-AD37-042CD977E48C}"/>
                </c:ext>
              </c:extLst>
            </c:dLbl>
            <c:dLbl>
              <c:idx val="1"/>
              <c:tx>
                <c:rich>
                  <a:bodyPr/>
                  <a:lstStyle/>
                  <a:p>
                    <a:fld id="{BA1449FA-A3B0-425E-9BC4-E552AF440F1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DFE-45AD-AD37-042CD977E48C}"/>
                </c:ext>
              </c:extLst>
            </c:dLbl>
            <c:dLbl>
              <c:idx val="2"/>
              <c:tx>
                <c:rich>
                  <a:bodyPr/>
                  <a:lstStyle/>
                  <a:p>
                    <a:fld id="{A889C1EF-44D4-456A-88C7-5ED04067B38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DFE-45AD-AD37-042CD977E48C}"/>
                </c:ext>
              </c:extLst>
            </c:dLbl>
            <c:dLbl>
              <c:idx val="3"/>
              <c:tx>
                <c:rich>
                  <a:bodyPr/>
                  <a:lstStyle/>
                  <a:p>
                    <a:fld id="{321BD19C-FCEF-42F9-B8E0-CED9D380A98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DFE-45AD-AD37-042CD977E48C}"/>
                </c:ext>
              </c:extLst>
            </c:dLbl>
            <c:dLbl>
              <c:idx val="4"/>
              <c:tx>
                <c:rich>
                  <a:bodyPr/>
                  <a:lstStyle/>
                  <a:p>
                    <a:fld id="{3AFB5B5B-ACC5-47FC-8B43-E279DA0B8D8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DFE-45AD-AD37-042CD977E48C}"/>
                </c:ext>
              </c:extLst>
            </c:dLbl>
            <c:dLbl>
              <c:idx val="5"/>
              <c:tx>
                <c:rich>
                  <a:bodyPr/>
                  <a:lstStyle/>
                  <a:p>
                    <a:fld id="{6EC3FF32-AA03-47B4-A31B-6FB6137517C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DFE-45AD-AD37-042CD977E4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Process!$AQ$18:$AQ$23</c:f>
              <c:numCache>
                <c:formatCode>General</c:formatCode>
                <c:ptCount val="6"/>
                <c:pt idx="0">
                  <c:v>11337.199999999999</c:v>
                </c:pt>
                <c:pt idx="1">
                  <c:v>11337.199999999999</c:v>
                </c:pt>
                <c:pt idx="2">
                  <c:v>11337.199999999999</c:v>
                </c:pt>
                <c:pt idx="3">
                  <c:v>11337.199999999999</c:v>
                </c:pt>
                <c:pt idx="4">
                  <c:v>11337.199999999999</c:v>
                </c:pt>
                <c:pt idx="5">
                  <c:v>11337.199999999999</c:v>
                </c:pt>
              </c:numCache>
            </c:numRef>
          </c:val>
          <c:extLst>
            <c:ext xmlns:c15="http://schemas.microsoft.com/office/drawing/2012/chart" uri="{02D57815-91ED-43cb-92C2-25804820EDAC}">
              <c15:datalabelsRange>
                <c15:f>Process!$AL$18:$AL$23</c15:f>
                <c15:dlblRangeCache>
                  <c:ptCount val="6"/>
                  <c:pt idx="0">
                    <c:v>Kitchen</c:v>
                  </c:pt>
                  <c:pt idx="1">
                    <c:v>Bathroom</c:v>
                  </c:pt>
                  <c:pt idx="2">
                    <c:v>Bedroom</c:v>
                  </c:pt>
                  <c:pt idx="3">
                    <c:v>Living</c:v>
                  </c:pt>
                  <c:pt idx="4">
                    <c:v>Decor</c:v>
                  </c:pt>
                  <c:pt idx="5">
                    <c:v>Garden</c:v>
                  </c:pt>
                </c15:dlblRangeCache>
              </c15:datalabelsRange>
            </c:ext>
            <c:ext xmlns:c16="http://schemas.microsoft.com/office/drawing/2014/chart" uri="{C3380CC4-5D6E-409C-BE32-E72D297353CC}">
              <c16:uniqueId val="{00000002-FDFE-45AD-AD37-042CD977E48C}"/>
            </c:ext>
          </c:extLst>
        </c:ser>
        <c:ser>
          <c:idx val="3"/>
          <c:order val="3"/>
          <c:tx>
            <c:strRef>
              <c:f>Process!$AR$17</c:f>
              <c:strCache>
                <c:ptCount val="1"/>
                <c:pt idx="0">
                  <c:v>Inventory</c:v>
                </c:pt>
              </c:strCache>
            </c:strRef>
          </c:tx>
          <c:spPr>
            <a:gradFill>
              <a:gsLst>
                <a:gs pos="100000">
                  <a:schemeClr val="accent5">
                    <a:lumMod val="60000"/>
                    <a:lumOff val="40000"/>
                  </a:schemeClr>
                </a:gs>
                <a:gs pos="0">
                  <a:schemeClr val="tx1">
                    <a:lumMod val="65000"/>
                    <a:lumOff val="35000"/>
                    <a:alpha val="50000"/>
                  </a:schemeClr>
                </a:gs>
              </a:gsLst>
              <a:lin ang="0" scaled="0"/>
            </a:gradFill>
            <a:ln>
              <a:noFill/>
            </a:ln>
            <a:effectLst/>
          </c:spPr>
          <c:invertIfNegative val="0"/>
          <c:val>
            <c:numRef>
              <c:f>Process!$AR$18:$AR$23</c:f>
              <c:numCache>
                <c:formatCode>_(* #,##0_);_(* \(#,##0\);_(* "-"??_);_(@_)</c:formatCode>
                <c:ptCount val="6"/>
                <c:pt idx="0">
                  <c:v>15033</c:v>
                </c:pt>
                <c:pt idx="1">
                  <c:v>13575</c:v>
                </c:pt>
                <c:pt idx="2">
                  <c:v>14840</c:v>
                </c:pt>
                <c:pt idx="3">
                  <c:v>16196</c:v>
                </c:pt>
                <c:pt idx="4">
                  <c:v>14953</c:v>
                </c:pt>
                <c:pt idx="5">
                  <c:v>15026</c:v>
                </c:pt>
              </c:numCache>
            </c:numRef>
          </c:val>
          <c:extLst>
            <c:ext xmlns:c16="http://schemas.microsoft.com/office/drawing/2014/chart" uri="{C3380CC4-5D6E-409C-BE32-E72D297353CC}">
              <c16:uniqueId val="{00000003-FDFE-45AD-AD37-042CD977E48C}"/>
            </c:ext>
          </c:extLst>
        </c:ser>
        <c:ser>
          <c:idx val="4"/>
          <c:order val="4"/>
          <c:tx>
            <c:strRef>
              <c:f>Process!$AS$17</c:f>
              <c:strCache>
                <c:ptCount val="1"/>
                <c:pt idx="0">
                  <c:v>Right</c:v>
                </c:pt>
              </c:strCache>
            </c:strRef>
          </c:tx>
          <c:spPr>
            <a:solidFill>
              <a:schemeClr val="bg2">
                <a:lumMod val="25000"/>
              </a:schemeClr>
            </a:solidFill>
            <a:ln>
              <a:noFill/>
            </a:ln>
            <a:effectLst/>
          </c:spPr>
          <c:invertIfNegative val="0"/>
          <c:dLbls>
            <c:dLbl>
              <c:idx val="0"/>
              <c:tx>
                <c:rich>
                  <a:bodyPr/>
                  <a:lstStyle/>
                  <a:p>
                    <a:fld id="{773FA710-F150-4964-A268-726095F45F4C}" type="CELLRANGE">
                      <a:rPr lang="en-US"/>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DFE-45AD-AD37-042CD977E48C}"/>
                </c:ext>
              </c:extLst>
            </c:dLbl>
            <c:dLbl>
              <c:idx val="1"/>
              <c:tx>
                <c:rich>
                  <a:bodyPr/>
                  <a:lstStyle/>
                  <a:p>
                    <a:fld id="{D81C1B37-52FB-4944-8B48-A8E0413AE6FB}"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DFE-45AD-AD37-042CD977E48C}"/>
                </c:ext>
              </c:extLst>
            </c:dLbl>
            <c:dLbl>
              <c:idx val="2"/>
              <c:tx>
                <c:rich>
                  <a:bodyPr/>
                  <a:lstStyle/>
                  <a:p>
                    <a:fld id="{AD966C08-022D-495E-A4F4-EC710E74684A}"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DFE-45AD-AD37-042CD977E48C}"/>
                </c:ext>
              </c:extLst>
            </c:dLbl>
            <c:dLbl>
              <c:idx val="3"/>
              <c:tx>
                <c:rich>
                  <a:bodyPr/>
                  <a:lstStyle/>
                  <a:p>
                    <a:fld id="{488A0B0F-2F5A-426B-8E97-5046A58D7D65}"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DFE-45AD-AD37-042CD977E48C}"/>
                </c:ext>
              </c:extLst>
            </c:dLbl>
            <c:dLbl>
              <c:idx val="4"/>
              <c:tx>
                <c:rich>
                  <a:bodyPr/>
                  <a:lstStyle/>
                  <a:p>
                    <a:fld id="{C51E8A57-D35E-4BD4-A2C7-C0316AD3389A}"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DFE-45AD-AD37-042CD977E48C}"/>
                </c:ext>
              </c:extLst>
            </c:dLbl>
            <c:dLbl>
              <c:idx val="5"/>
              <c:tx>
                <c:rich>
                  <a:bodyPr/>
                  <a:lstStyle/>
                  <a:p>
                    <a:fld id="{224E09B2-4302-4C79-9C40-AFB7DB098C12}" type="CELLRANGE">
                      <a:rPr lang="en-IN"/>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DFE-45AD-AD37-042CD977E4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Process!$AS$18:$AS$23</c:f>
              <c:numCache>
                <c:formatCode>General</c:formatCode>
                <c:ptCount val="6"/>
                <c:pt idx="0">
                  <c:v>7641.3999999999978</c:v>
                </c:pt>
                <c:pt idx="1">
                  <c:v>9099.3999999999978</c:v>
                </c:pt>
                <c:pt idx="2">
                  <c:v>7834.3999999999978</c:v>
                </c:pt>
                <c:pt idx="3">
                  <c:v>6478.3999999999978</c:v>
                </c:pt>
                <c:pt idx="4">
                  <c:v>7721.3999999999978</c:v>
                </c:pt>
                <c:pt idx="5">
                  <c:v>7648.3999999999978</c:v>
                </c:pt>
              </c:numCache>
            </c:numRef>
          </c:val>
          <c:extLst>
            <c:ext xmlns:c15="http://schemas.microsoft.com/office/drawing/2012/chart" uri="{02D57815-91ED-43cb-92C2-25804820EDAC}">
              <c15:datalabelsRange>
                <c15:f>Process!$AR$18:$AR$23</c15:f>
                <c15:dlblRangeCache>
                  <c:ptCount val="6"/>
                  <c:pt idx="0">
                    <c:v> 15,033 </c:v>
                  </c:pt>
                  <c:pt idx="1">
                    <c:v> 13,575 </c:v>
                  </c:pt>
                  <c:pt idx="2">
                    <c:v> 14,840 </c:v>
                  </c:pt>
                  <c:pt idx="3">
                    <c:v> 16,196 </c:v>
                  </c:pt>
                  <c:pt idx="4">
                    <c:v> 14,953 </c:v>
                  </c:pt>
                  <c:pt idx="5">
                    <c:v> 15,026 </c:v>
                  </c:pt>
                </c15:dlblRangeCache>
              </c15:datalabelsRange>
            </c:ext>
            <c:ext xmlns:c16="http://schemas.microsoft.com/office/drawing/2014/chart" uri="{C3380CC4-5D6E-409C-BE32-E72D297353CC}">
              <c16:uniqueId val="{00000004-FDFE-45AD-AD37-042CD977E48C}"/>
            </c:ext>
          </c:extLst>
        </c:ser>
        <c:dLbls>
          <c:showLegendKey val="0"/>
          <c:showVal val="0"/>
          <c:showCatName val="0"/>
          <c:showSerName val="0"/>
          <c:showPercent val="0"/>
          <c:showBubbleSize val="0"/>
        </c:dLbls>
        <c:gapWidth val="150"/>
        <c:overlap val="100"/>
        <c:axId val="275840416"/>
        <c:axId val="275876416"/>
      </c:barChart>
      <c:catAx>
        <c:axId val="275840416"/>
        <c:scaling>
          <c:orientation val="maxMin"/>
        </c:scaling>
        <c:delete val="1"/>
        <c:axPos val="l"/>
        <c:majorTickMark val="none"/>
        <c:minorTickMark val="none"/>
        <c:tickLblPos val="nextTo"/>
        <c:crossAx val="275876416"/>
        <c:crosses val="autoZero"/>
        <c:auto val="1"/>
        <c:lblAlgn val="ctr"/>
        <c:lblOffset val="100"/>
        <c:noMultiLvlLbl val="0"/>
      </c:catAx>
      <c:valAx>
        <c:axId val="275876416"/>
        <c:scaling>
          <c:orientation val="minMax"/>
        </c:scaling>
        <c:delete val="1"/>
        <c:axPos val="t"/>
        <c:numFmt formatCode="0%" sourceLinked="1"/>
        <c:majorTickMark val="none"/>
        <c:minorTickMark val="none"/>
        <c:tickLblPos val="nextTo"/>
        <c:crossAx val="27584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Y$2" lockText="1" noThreeD="1"/>
</file>

<file path=xl/ctrlProps/ctrlProp2.xml><?xml version="1.0" encoding="utf-8"?>
<formControlPr xmlns="http://schemas.microsoft.com/office/spreadsheetml/2009/9/main" objectType="CheckBox" checked="Checked" fmlaLink="$Z$2" lockText="1" noThreeD="1"/>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66675</xdr:colOff>
          <xdr:row>1</xdr:row>
          <xdr:rowOff>171450</xdr:rowOff>
        </xdr:from>
        <xdr:to>
          <xdr:col>25</xdr:col>
          <xdr:colOff>552450</xdr:colOff>
          <xdr:row>3</xdr:row>
          <xdr:rowOff>9525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104775</xdr:colOff>
          <xdr:row>4</xdr:row>
          <xdr:rowOff>9525</xdr:rowOff>
        </xdr:from>
        <xdr:to>
          <xdr:col>25</xdr:col>
          <xdr:colOff>542925</xdr:colOff>
          <xdr:row>5</xdr:row>
          <xdr:rowOff>38100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Check Box 9</a:t>
              </a:r>
            </a:p>
          </xdr:txBody>
        </xdr:sp>
        <xdr:clientData/>
      </xdr:twoCellAnchor>
    </mc:Choice>
    <mc:Fallback/>
  </mc:AlternateContent>
  <xdr:twoCellAnchor>
    <xdr:from>
      <xdr:col>24</xdr:col>
      <xdr:colOff>38100</xdr:colOff>
      <xdr:row>5</xdr:row>
      <xdr:rowOff>58807</xdr:rowOff>
    </xdr:from>
    <xdr:to>
      <xdr:col>24</xdr:col>
      <xdr:colOff>449121</xdr:colOff>
      <xdr:row>6</xdr:row>
      <xdr:rowOff>115195</xdr:rowOff>
    </xdr:to>
    <xdr:grpSp>
      <xdr:nvGrpSpPr>
        <xdr:cNvPr id="20" name="Group 19">
          <a:extLst>
            <a:ext uri="{FF2B5EF4-FFF2-40B4-BE49-F238E27FC236}">
              <a16:creationId xmlns:a16="http://schemas.microsoft.com/office/drawing/2014/main" id="{13BF5222-AEC0-D0EA-7131-406BB4319F50}"/>
            </a:ext>
          </a:extLst>
        </xdr:cNvPr>
        <xdr:cNvGrpSpPr/>
      </xdr:nvGrpSpPr>
      <xdr:grpSpPr>
        <a:xfrm>
          <a:off x="16182975" y="1011307"/>
          <a:ext cx="411021" cy="246888"/>
          <a:chOff x="13344525" y="1830457"/>
          <a:chExt cx="411021" cy="246888"/>
        </a:xfrm>
      </xdr:grpSpPr>
      <xdr:sp macro="" textlink="">
        <xdr:nvSpPr>
          <xdr:cNvPr id="14" name="Rectangle: Rounded Corners 13">
            <a:extLst>
              <a:ext uri="{FF2B5EF4-FFF2-40B4-BE49-F238E27FC236}">
                <a16:creationId xmlns:a16="http://schemas.microsoft.com/office/drawing/2014/main" id="{A3CF4D49-6E64-14A9-D10B-FEACD76533A4}"/>
              </a:ext>
            </a:extLst>
          </xdr:cNvPr>
          <xdr:cNvSpPr/>
        </xdr:nvSpPr>
        <xdr:spPr>
          <a:xfrm>
            <a:off x="13344525" y="1866900"/>
            <a:ext cx="384048" cy="182880"/>
          </a:xfrm>
          <a:prstGeom prst="roundRect">
            <a:avLst>
              <a:gd name="adj" fmla="val 50000"/>
            </a:avLst>
          </a:prstGeom>
          <a:gradFill>
            <a:gsLst>
              <a:gs pos="48000">
                <a:schemeClr val="accent5">
                  <a:lumMod val="74000"/>
                </a:schemeClr>
              </a:gs>
              <a:gs pos="91000">
                <a:schemeClr val="accent5">
                  <a:lumMod val="60000"/>
                  <a:lumOff val="40000"/>
                </a:schemeClr>
              </a:gs>
            </a:gsLst>
            <a:lin ang="10800000" scaled="0"/>
          </a:gradFill>
          <a:ln w="12700">
            <a:solidFill>
              <a:schemeClr val="accent1">
                <a:shade val="15000"/>
              </a:schemeClr>
            </a:solidFill>
          </a:ln>
          <a:scene3d>
            <a:camera prst="orthographicFront"/>
            <a:lightRig rig="threePt" dir="t">
              <a:rot lat="0" lon="0" rev="8700000"/>
            </a:lightRig>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Oval 14">
            <a:extLst>
              <a:ext uri="{FF2B5EF4-FFF2-40B4-BE49-F238E27FC236}">
                <a16:creationId xmlns:a16="http://schemas.microsoft.com/office/drawing/2014/main" id="{C460F9C0-F1BE-D8D8-C0BE-7BDBB55D7407}"/>
              </a:ext>
            </a:extLst>
          </xdr:cNvPr>
          <xdr:cNvSpPr/>
        </xdr:nvSpPr>
        <xdr:spPr>
          <a:xfrm>
            <a:off x="13509900" y="1830457"/>
            <a:ext cx="245646" cy="246888"/>
          </a:xfrm>
          <a:prstGeom prst="ellipse">
            <a:avLst/>
          </a:prstGeom>
          <a:solidFill>
            <a:schemeClr val="accent5">
              <a:lumMod val="60000"/>
              <a:lumOff val="40000"/>
            </a:schemeClr>
          </a:solidFill>
          <a:ln w="6350"/>
          <a:scene3d>
            <a:camera prst="orthographicFront"/>
            <a:lightRig rig="threePt" dir="t"/>
          </a:scene3d>
          <a:sp3d extrusionH="69850">
            <a:bevelT w="190500" prst="softRound"/>
            <a:bevelB w="0" h="82550"/>
            <a:extrusionClr>
              <a:srgbClr val="C17195"/>
            </a:extrusionClr>
            <a:contourClr>
              <a:schemeClr val="tx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25</xdr:col>
      <xdr:colOff>47625</xdr:colOff>
      <xdr:row>5</xdr:row>
      <xdr:rowOff>66675</xdr:rowOff>
    </xdr:from>
    <xdr:to>
      <xdr:col>25</xdr:col>
      <xdr:colOff>457180</xdr:colOff>
      <xdr:row>6</xdr:row>
      <xdr:rowOff>123063</xdr:rowOff>
    </xdr:to>
    <xdr:grpSp>
      <xdr:nvGrpSpPr>
        <xdr:cNvPr id="21" name="Group 20">
          <a:extLst>
            <a:ext uri="{FF2B5EF4-FFF2-40B4-BE49-F238E27FC236}">
              <a16:creationId xmlns:a16="http://schemas.microsoft.com/office/drawing/2014/main" id="{56CA9860-43E5-534E-CAE2-B26D530DD6FA}"/>
            </a:ext>
          </a:extLst>
        </xdr:cNvPr>
        <xdr:cNvGrpSpPr/>
      </xdr:nvGrpSpPr>
      <xdr:grpSpPr>
        <a:xfrm>
          <a:off x="16802100" y="1019175"/>
          <a:ext cx="409555" cy="246888"/>
          <a:chOff x="14125575" y="1905000"/>
          <a:chExt cx="409555" cy="246888"/>
        </a:xfrm>
      </xdr:grpSpPr>
      <xdr:sp macro="" textlink="">
        <xdr:nvSpPr>
          <xdr:cNvPr id="16" name="Rectangle: Rounded Corners 15">
            <a:extLst>
              <a:ext uri="{FF2B5EF4-FFF2-40B4-BE49-F238E27FC236}">
                <a16:creationId xmlns:a16="http://schemas.microsoft.com/office/drawing/2014/main" id="{2502F8B8-136D-4967-89A0-09326B0621C5}"/>
              </a:ext>
            </a:extLst>
          </xdr:cNvPr>
          <xdr:cNvSpPr/>
        </xdr:nvSpPr>
        <xdr:spPr>
          <a:xfrm>
            <a:off x="14125575" y="1941443"/>
            <a:ext cx="382582" cy="182880"/>
          </a:xfrm>
          <a:prstGeom prst="roundRect">
            <a:avLst>
              <a:gd name="adj" fmla="val 50000"/>
            </a:avLst>
          </a:prstGeom>
          <a:solidFill>
            <a:schemeClr val="accent4">
              <a:lumMod val="60000"/>
              <a:lumOff val="40000"/>
            </a:schemeClr>
          </a:solidFill>
          <a:ln w="12700">
            <a:solidFill>
              <a:schemeClr val="accent1">
                <a:shade val="15000"/>
              </a:schemeClr>
            </a:solidFill>
          </a:ln>
          <a:scene3d>
            <a:camera prst="orthographicFront"/>
            <a:lightRig rig="threePt" dir="t">
              <a:rot lat="0" lon="0" rev="8700000"/>
            </a:lightRig>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Oval 16">
            <a:extLst>
              <a:ext uri="{FF2B5EF4-FFF2-40B4-BE49-F238E27FC236}">
                <a16:creationId xmlns:a16="http://schemas.microsoft.com/office/drawing/2014/main" id="{D1D4F2A4-CFA0-40FA-9C24-C970FD2EA599}"/>
              </a:ext>
            </a:extLst>
          </xdr:cNvPr>
          <xdr:cNvSpPr/>
        </xdr:nvSpPr>
        <xdr:spPr>
          <a:xfrm>
            <a:off x="14290950" y="1905000"/>
            <a:ext cx="244180" cy="246888"/>
          </a:xfrm>
          <a:prstGeom prst="ellipse">
            <a:avLst/>
          </a:prstGeom>
          <a:solidFill>
            <a:schemeClr val="accent4">
              <a:lumMod val="60000"/>
              <a:lumOff val="40000"/>
            </a:schemeClr>
          </a:solidFill>
          <a:ln w="6350"/>
          <a:scene3d>
            <a:camera prst="orthographicFront"/>
            <a:lightRig rig="threePt" dir="t"/>
          </a:scene3d>
          <a:sp3d extrusionH="69850">
            <a:bevelT w="190500" prst="softRound"/>
            <a:bevelB w="0" h="82550"/>
            <a:extrusionClr>
              <a:srgbClr val="C17195"/>
            </a:extrusionClr>
            <a:contourClr>
              <a:schemeClr val="tx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25</xdr:col>
      <xdr:colOff>47625</xdr:colOff>
      <xdr:row>6</xdr:row>
      <xdr:rowOff>180975</xdr:rowOff>
    </xdr:from>
    <xdr:to>
      <xdr:col>25</xdr:col>
      <xdr:colOff>457180</xdr:colOff>
      <xdr:row>8</xdr:row>
      <xdr:rowOff>46863</xdr:rowOff>
    </xdr:to>
    <xdr:grpSp>
      <xdr:nvGrpSpPr>
        <xdr:cNvPr id="22" name="Group 21">
          <a:extLst>
            <a:ext uri="{FF2B5EF4-FFF2-40B4-BE49-F238E27FC236}">
              <a16:creationId xmlns:a16="http://schemas.microsoft.com/office/drawing/2014/main" id="{47713979-8165-C90D-6388-7DDA0C5E2680}"/>
            </a:ext>
          </a:extLst>
        </xdr:cNvPr>
        <xdr:cNvGrpSpPr/>
      </xdr:nvGrpSpPr>
      <xdr:grpSpPr>
        <a:xfrm>
          <a:off x="16802100" y="1323975"/>
          <a:ext cx="409555" cy="246888"/>
          <a:chOff x="14830425" y="2286000"/>
          <a:chExt cx="409555" cy="246888"/>
        </a:xfrm>
      </xdr:grpSpPr>
      <xdr:sp macro="" textlink="">
        <xdr:nvSpPr>
          <xdr:cNvPr id="18" name="Rectangle: Rounded Corners 17">
            <a:extLst>
              <a:ext uri="{FF2B5EF4-FFF2-40B4-BE49-F238E27FC236}">
                <a16:creationId xmlns:a16="http://schemas.microsoft.com/office/drawing/2014/main" id="{2DCBE118-8715-4A35-A850-C242D5262BA8}"/>
              </a:ext>
            </a:extLst>
          </xdr:cNvPr>
          <xdr:cNvSpPr/>
        </xdr:nvSpPr>
        <xdr:spPr>
          <a:xfrm>
            <a:off x="14830425" y="2322443"/>
            <a:ext cx="382582" cy="182880"/>
          </a:xfrm>
          <a:prstGeom prst="roundRect">
            <a:avLst>
              <a:gd name="adj" fmla="val 50000"/>
            </a:avLst>
          </a:prstGeom>
          <a:solidFill>
            <a:schemeClr val="tx1">
              <a:lumMod val="75000"/>
              <a:lumOff val="25000"/>
            </a:schemeClr>
          </a:solidFill>
          <a:ln w="12700">
            <a:solidFill>
              <a:schemeClr val="accent1">
                <a:shade val="15000"/>
              </a:schemeClr>
            </a:solidFill>
          </a:ln>
          <a:scene3d>
            <a:camera prst="orthographicFront"/>
            <a:lightRig rig="threePt" dir="t">
              <a:rot lat="0" lon="0" rev="8700000"/>
            </a:lightRig>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Oval 18">
            <a:extLst>
              <a:ext uri="{FF2B5EF4-FFF2-40B4-BE49-F238E27FC236}">
                <a16:creationId xmlns:a16="http://schemas.microsoft.com/office/drawing/2014/main" id="{BC72163F-6FBF-4DEB-B3DD-06FCA592BD26}"/>
              </a:ext>
            </a:extLst>
          </xdr:cNvPr>
          <xdr:cNvSpPr/>
        </xdr:nvSpPr>
        <xdr:spPr>
          <a:xfrm>
            <a:off x="14995800" y="2286000"/>
            <a:ext cx="244180" cy="246888"/>
          </a:xfrm>
          <a:prstGeom prst="ellipse">
            <a:avLst/>
          </a:prstGeom>
          <a:solidFill>
            <a:schemeClr val="tx1">
              <a:lumMod val="75000"/>
              <a:lumOff val="25000"/>
            </a:schemeClr>
          </a:solidFill>
          <a:ln w="6350"/>
          <a:scene3d>
            <a:camera prst="orthographicFront"/>
            <a:lightRig rig="threePt" dir="t"/>
          </a:scene3d>
          <a:sp3d extrusionH="69850">
            <a:bevelT w="190500" prst="softRound"/>
            <a:bevelB w="0" h="82550"/>
            <a:extrusionClr>
              <a:srgbClr val="C17195"/>
            </a:extrusionClr>
            <a:contourClr>
              <a:schemeClr val="tx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24</xdr:col>
      <xdr:colOff>57150</xdr:colOff>
      <xdr:row>6</xdr:row>
      <xdr:rowOff>180975</xdr:rowOff>
    </xdr:from>
    <xdr:to>
      <xdr:col>24</xdr:col>
      <xdr:colOff>466705</xdr:colOff>
      <xdr:row>8</xdr:row>
      <xdr:rowOff>46863</xdr:rowOff>
    </xdr:to>
    <xdr:grpSp>
      <xdr:nvGrpSpPr>
        <xdr:cNvPr id="23" name="Group 22">
          <a:extLst>
            <a:ext uri="{FF2B5EF4-FFF2-40B4-BE49-F238E27FC236}">
              <a16:creationId xmlns:a16="http://schemas.microsoft.com/office/drawing/2014/main" id="{1F701EB6-822D-4B37-A2E8-BEE748D548F4}"/>
            </a:ext>
          </a:extLst>
        </xdr:cNvPr>
        <xdr:cNvGrpSpPr/>
      </xdr:nvGrpSpPr>
      <xdr:grpSpPr>
        <a:xfrm>
          <a:off x="16202025" y="1323975"/>
          <a:ext cx="409555" cy="246888"/>
          <a:chOff x="14830425" y="2286000"/>
          <a:chExt cx="409555" cy="246888"/>
        </a:xfrm>
      </xdr:grpSpPr>
      <xdr:sp macro="" textlink="">
        <xdr:nvSpPr>
          <xdr:cNvPr id="24" name="Rectangle: Rounded Corners 23">
            <a:extLst>
              <a:ext uri="{FF2B5EF4-FFF2-40B4-BE49-F238E27FC236}">
                <a16:creationId xmlns:a16="http://schemas.microsoft.com/office/drawing/2014/main" id="{89326966-D63B-9A9C-1E2F-BE6A2E86D4DE}"/>
              </a:ext>
            </a:extLst>
          </xdr:cNvPr>
          <xdr:cNvSpPr/>
        </xdr:nvSpPr>
        <xdr:spPr>
          <a:xfrm>
            <a:off x="14830425" y="2322443"/>
            <a:ext cx="382582" cy="182880"/>
          </a:xfrm>
          <a:prstGeom prst="roundRect">
            <a:avLst>
              <a:gd name="adj" fmla="val 50000"/>
            </a:avLst>
          </a:prstGeom>
          <a:solidFill>
            <a:schemeClr val="tx1">
              <a:lumMod val="75000"/>
              <a:lumOff val="25000"/>
            </a:schemeClr>
          </a:solidFill>
          <a:ln w="12700">
            <a:solidFill>
              <a:schemeClr val="accent1">
                <a:shade val="15000"/>
              </a:schemeClr>
            </a:solidFill>
          </a:ln>
          <a:scene3d>
            <a:camera prst="orthographicFront"/>
            <a:lightRig rig="threePt" dir="t">
              <a:rot lat="0" lon="0" rev="8700000"/>
            </a:lightRig>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Oval 24">
            <a:extLst>
              <a:ext uri="{FF2B5EF4-FFF2-40B4-BE49-F238E27FC236}">
                <a16:creationId xmlns:a16="http://schemas.microsoft.com/office/drawing/2014/main" id="{D000259B-BDE1-2B91-1433-8691D916783C}"/>
              </a:ext>
            </a:extLst>
          </xdr:cNvPr>
          <xdr:cNvSpPr/>
        </xdr:nvSpPr>
        <xdr:spPr>
          <a:xfrm>
            <a:off x="14995800" y="2286000"/>
            <a:ext cx="244180" cy="246888"/>
          </a:xfrm>
          <a:prstGeom prst="ellipse">
            <a:avLst/>
          </a:prstGeom>
          <a:solidFill>
            <a:schemeClr val="tx1">
              <a:lumMod val="75000"/>
              <a:lumOff val="25000"/>
            </a:schemeClr>
          </a:solidFill>
          <a:ln w="6350"/>
          <a:scene3d>
            <a:camera prst="orthographicFront"/>
            <a:lightRig rig="threePt" dir="t"/>
          </a:scene3d>
          <a:sp3d extrusionH="69850">
            <a:bevelT w="190500" prst="softRound"/>
            <a:bevelB w="0" h="82550"/>
            <a:extrusionClr>
              <a:srgbClr val="C17195"/>
            </a:extrusionClr>
            <a:contourClr>
              <a:schemeClr val="tx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95249</xdr:colOff>
      <xdr:row>55</xdr:row>
      <xdr:rowOff>174238</xdr:rowOff>
    </xdr:to>
    <xdr:sp macro="" textlink="">
      <xdr:nvSpPr>
        <xdr:cNvPr id="2" name="Rectangle 1">
          <a:extLst>
            <a:ext uri="{FF2B5EF4-FFF2-40B4-BE49-F238E27FC236}">
              <a16:creationId xmlns:a16="http://schemas.microsoft.com/office/drawing/2014/main" id="{9AE3D31F-1363-4152-02A3-B2C0A9E9EC5A}"/>
            </a:ext>
          </a:extLst>
        </xdr:cNvPr>
        <xdr:cNvSpPr/>
      </xdr:nvSpPr>
      <xdr:spPr>
        <a:xfrm>
          <a:off x="0" y="0"/>
          <a:ext cx="13383786" cy="10396189"/>
        </a:xfrm>
        <a:prstGeom prst="rect">
          <a:avLst/>
        </a:prstGeom>
        <a:solidFill>
          <a:srgbClr val="0322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p>
      </xdr:txBody>
    </xdr:sp>
    <xdr:clientData/>
  </xdr:twoCellAnchor>
  <xdr:twoCellAnchor>
    <xdr:from>
      <xdr:col>0</xdr:col>
      <xdr:colOff>142875</xdr:colOff>
      <xdr:row>13</xdr:row>
      <xdr:rowOff>94378</xdr:rowOff>
    </xdr:from>
    <xdr:to>
      <xdr:col>10</xdr:col>
      <xdr:colOff>303318</xdr:colOff>
      <xdr:row>25</xdr:row>
      <xdr:rowOff>94378</xdr:rowOff>
    </xdr:to>
    <xdr:sp macro="" textlink="">
      <xdr:nvSpPr>
        <xdr:cNvPr id="5" name="Rectangle: Rounded Corners 4">
          <a:extLst>
            <a:ext uri="{FF2B5EF4-FFF2-40B4-BE49-F238E27FC236}">
              <a16:creationId xmlns:a16="http://schemas.microsoft.com/office/drawing/2014/main" id="{5A71906D-9466-17A5-45E7-709BA82EE4A8}"/>
            </a:ext>
          </a:extLst>
        </xdr:cNvPr>
        <xdr:cNvSpPr/>
      </xdr:nvSpPr>
      <xdr:spPr>
        <a:xfrm>
          <a:off x="142875" y="2522319"/>
          <a:ext cx="6230296" cy="2241177"/>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324379</xdr:colOff>
      <xdr:row>13</xdr:row>
      <xdr:rowOff>179044</xdr:rowOff>
    </xdr:from>
    <xdr:to>
      <xdr:col>10</xdr:col>
      <xdr:colOff>113771</xdr:colOff>
      <xdr:row>25</xdr:row>
      <xdr:rowOff>13447</xdr:rowOff>
    </xdr:to>
    <xdr:graphicFrame macro="">
      <xdr:nvGraphicFramePr>
        <xdr:cNvPr id="3" name="Chart 2">
          <a:extLst>
            <a:ext uri="{FF2B5EF4-FFF2-40B4-BE49-F238E27FC236}">
              <a16:creationId xmlns:a16="http://schemas.microsoft.com/office/drawing/2014/main" id="{B3808F0A-5633-4E0F-BC2C-9067FB61F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558609</xdr:colOff>
      <xdr:row>22</xdr:row>
      <xdr:rowOff>184155</xdr:rowOff>
    </xdr:from>
    <xdr:to>
      <xdr:col>10</xdr:col>
      <xdr:colOff>164718</xdr:colOff>
      <xdr:row>24</xdr:row>
      <xdr:rowOff>160416</xdr:rowOff>
    </xdr:to>
    <mc:AlternateContent xmlns:mc="http://schemas.openxmlformats.org/markup-compatibility/2006">
      <mc:Choice xmlns:a14="http://schemas.microsoft.com/office/drawing/2010/main" Requires="a14">
        <xdr:graphicFrame macro="">
          <xdr:nvGraphicFramePr>
            <xdr:cNvPr id="4" name="Name Month">
              <a:extLst>
                <a:ext uri="{FF2B5EF4-FFF2-40B4-BE49-F238E27FC236}">
                  <a16:creationId xmlns:a16="http://schemas.microsoft.com/office/drawing/2014/main" id="{489965EB-15BC-411B-A710-4BEDEA3EB7FD}"/>
                </a:ext>
              </a:extLst>
            </xdr:cNvPr>
            <xdr:cNvGraphicFramePr/>
          </xdr:nvGraphicFramePr>
          <xdr:xfrm>
            <a:off x="0" y="0"/>
            <a:ext cx="0" cy="0"/>
          </xdr:xfrm>
          <a:graphic>
            <a:graphicData uri="http://schemas.microsoft.com/office/drawing/2010/slicer">
              <sle:slicer xmlns:sle="http://schemas.microsoft.com/office/drawing/2010/slicer" name="Name Month"/>
            </a:graphicData>
          </a:graphic>
        </xdr:graphicFrame>
      </mc:Choice>
      <mc:Fallback>
        <xdr:sp macro="" textlink="">
          <xdr:nvSpPr>
            <xdr:cNvPr id="0" name=""/>
            <xdr:cNvSpPr>
              <a:spLocks noTextEdit="1"/>
            </xdr:cNvSpPr>
          </xdr:nvSpPr>
          <xdr:spPr>
            <a:xfrm>
              <a:off x="558609" y="4375155"/>
              <a:ext cx="5702109" cy="357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113774</xdr:colOff>
      <xdr:row>13</xdr:row>
      <xdr:rowOff>157880</xdr:rowOff>
    </xdr:from>
    <xdr:to>
      <xdr:col>10</xdr:col>
      <xdr:colOff>60858</xdr:colOff>
      <xdr:row>15</xdr:row>
      <xdr:rowOff>2863</xdr:rowOff>
    </xdr:to>
    <xdr:sp macro="" textlink="Process!C15">
      <xdr:nvSpPr>
        <xdr:cNvPr id="6" name="TextBox 5">
          <a:extLst>
            <a:ext uri="{FF2B5EF4-FFF2-40B4-BE49-F238E27FC236}">
              <a16:creationId xmlns:a16="http://schemas.microsoft.com/office/drawing/2014/main" id="{306FDDFF-DCED-1B1D-B40A-A18C52DBC517}"/>
            </a:ext>
          </a:extLst>
        </xdr:cNvPr>
        <xdr:cNvSpPr txBox="1"/>
      </xdr:nvSpPr>
      <xdr:spPr>
        <a:xfrm>
          <a:off x="5576642" y="2585821"/>
          <a:ext cx="554069" cy="218513"/>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D683D4-1D6B-4EBF-94D5-C60C832F40E8}" type="TxLink">
            <a:rPr lang="en-US" sz="1100" b="0" i="0" u="none" strike="noStrike">
              <a:solidFill>
                <a:schemeClr val="tx2">
                  <a:lumMod val="10000"/>
                  <a:lumOff val="90000"/>
                </a:schemeClr>
              </a:solidFill>
              <a:latin typeface="Aptos Narrow"/>
            </a:rPr>
            <a:pPr/>
            <a:t>11,901</a:t>
          </a:fld>
          <a:endParaRPr lang="en-IN" sz="1100">
            <a:solidFill>
              <a:schemeClr val="tx2">
                <a:lumMod val="10000"/>
                <a:lumOff val="90000"/>
              </a:schemeClr>
            </a:solidFill>
          </a:endParaRPr>
        </a:p>
      </xdr:txBody>
    </xdr:sp>
    <xdr:clientData/>
  </xdr:twoCellAnchor>
  <xdr:twoCellAnchor>
    <xdr:from>
      <xdr:col>8</xdr:col>
      <xdr:colOff>103168</xdr:colOff>
      <xdr:row>13</xdr:row>
      <xdr:rowOff>155953</xdr:rowOff>
    </xdr:from>
    <xdr:to>
      <xdr:col>9</xdr:col>
      <xdr:colOff>50252</xdr:colOff>
      <xdr:row>15</xdr:row>
      <xdr:rowOff>13447</xdr:rowOff>
    </xdr:to>
    <xdr:sp macro="" textlink="Process!D15">
      <xdr:nvSpPr>
        <xdr:cNvPr id="7" name="TextBox 6">
          <a:extLst>
            <a:ext uri="{FF2B5EF4-FFF2-40B4-BE49-F238E27FC236}">
              <a16:creationId xmlns:a16="http://schemas.microsoft.com/office/drawing/2014/main" id="{EB8D448F-3148-4BAF-84E4-750DB7E0C0A2}"/>
            </a:ext>
          </a:extLst>
        </xdr:cNvPr>
        <xdr:cNvSpPr txBox="1"/>
      </xdr:nvSpPr>
      <xdr:spPr>
        <a:xfrm>
          <a:off x="4959050" y="2583894"/>
          <a:ext cx="554070" cy="231024"/>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C08FD1-B744-46C3-B8E0-CB0321C64E4B}" type="TxLink">
            <a:rPr lang="en-US" sz="1100" b="0" i="0" u="none" strike="noStrike">
              <a:solidFill>
                <a:schemeClr val="tx2">
                  <a:lumMod val="10000"/>
                  <a:lumOff val="90000"/>
                </a:schemeClr>
              </a:solidFill>
              <a:latin typeface="Aptos Narrow"/>
            </a:rPr>
            <a:pPr/>
            <a:t>11,901</a:t>
          </a:fld>
          <a:endParaRPr lang="en-IN" sz="1100">
            <a:solidFill>
              <a:schemeClr val="tx2">
                <a:lumMod val="10000"/>
                <a:lumOff val="90000"/>
              </a:schemeClr>
            </a:solidFill>
          </a:endParaRPr>
        </a:p>
      </xdr:txBody>
    </xdr:sp>
    <xdr:clientData/>
  </xdr:twoCellAnchor>
  <xdr:twoCellAnchor>
    <xdr:from>
      <xdr:col>11</xdr:col>
      <xdr:colOff>86252</xdr:colOff>
      <xdr:row>13</xdr:row>
      <xdr:rowOff>119929</xdr:rowOff>
    </xdr:from>
    <xdr:to>
      <xdr:col>16</xdr:col>
      <xdr:colOff>7173</xdr:colOff>
      <xdr:row>25</xdr:row>
      <xdr:rowOff>119929</xdr:rowOff>
    </xdr:to>
    <xdr:sp macro="" textlink="">
      <xdr:nvSpPr>
        <xdr:cNvPr id="8" name="Rectangle: Rounded Corners 7">
          <a:extLst>
            <a:ext uri="{FF2B5EF4-FFF2-40B4-BE49-F238E27FC236}">
              <a16:creationId xmlns:a16="http://schemas.microsoft.com/office/drawing/2014/main" id="{86F29C2A-69B7-460D-AA49-851D9BDD1D42}"/>
            </a:ext>
          </a:extLst>
        </xdr:cNvPr>
        <xdr:cNvSpPr/>
      </xdr:nvSpPr>
      <xdr:spPr>
        <a:xfrm>
          <a:off x="6763090" y="2547870"/>
          <a:ext cx="2955848" cy="2241177"/>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287335</xdr:colOff>
      <xdr:row>13</xdr:row>
      <xdr:rowOff>28414</xdr:rowOff>
    </xdr:from>
    <xdr:to>
      <xdr:col>15</xdr:col>
      <xdr:colOff>381738</xdr:colOff>
      <xdr:row>25</xdr:row>
      <xdr:rowOff>168462</xdr:rowOff>
    </xdr:to>
    <xdr:graphicFrame macro="">
      <xdr:nvGraphicFramePr>
        <xdr:cNvPr id="9" name="Chart 8">
          <a:extLst>
            <a:ext uri="{FF2B5EF4-FFF2-40B4-BE49-F238E27FC236}">
              <a16:creationId xmlns:a16="http://schemas.microsoft.com/office/drawing/2014/main" id="{95BC7A9B-D935-40FC-A3E5-8FE2CF7B8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142876</xdr:colOff>
      <xdr:row>27</xdr:row>
      <xdr:rowOff>90565</xdr:rowOff>
    </xdr:from>
    <xdr:to>
      <xdr:col>5</xdr:col>
      <xdr:colOff>185854</xdr:colOff>
      <xdr:row>39</xdr:row>
      <xdr:rowOff>90565</xdr:rowOff>
    </xdr:to>
    <xdr:sp macro="" textlink="">
      <xdr:nvSpPr>
        <xdr:cNvPr id="15" name="Rectangle: Rounded Corners 14">
          <a:extLst>
            <a:ext uri="{FF2B5EF4-FFF2-40B4-BE49-F238E27FC236}">
              <a16:creationId xmlns:a16="http://schemas.microsoft.com/office/drawing/2014/main" id="{BA1EAC68-C210-483C-B21E-C3C67D4B0BC6}"/>
            </a:ext>
          </a:extLst>
        </xdr:cNvPr>
        <xdr:cNvSpPr/>
      </xdr:nvSpPr>
      <xdr:spPr>
        <a:xfrm>
          <a:off x="142876" y="5108614"/>
          <a:ext cx="3063100" cy="2230244"/>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41</xdr:row>
      <xdr:rowOff>149764</xdr:rowOff>
    </xdr:from>
    <xdr:to>
      <xdr:col>5</xdr:col>
      <xdr:colOff>174238</xdr:colOff>
      <xdr:row>53</xdr:row>
      <xdr:rowOff>149765</xdr:rowOff>
    </xdr:to>
    <xdr:sp macro="" textlink="">
      <xdr:nvSpPr>
        <xdr:cNvPr id="16" name="Rectangle: Rounded Corners 15">
          <a:extLst>
            <a:ext uri="{FF2B5EF4-FFF2-40B4-BE49-F238E27FC236}">
              <a16:creationId xmlns:a16="http://schemas.microsoft.com/office/drawing/2014/main" id="{34A0B87A-0746-451B-A730-FB4085C6793C}"/>
            </a:ext>
          </a:extLst>
        </xdr:cNvPr>
        <xdr:cNvSpPr/>
      </xdr:nvSpPr>
      <xdr:spPr>
        <a:xfrm>
          <a:off x="142875" y="7769764"/>
          <a:ext cx="3051485" cy="2230245"/>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490279</xdr:colOff>
      <xdr:row>27</xdr:row>
      <xdr:rowOff>102969</xdr:rowOff>
    </xdr:from>
    <xdr:to>
      <xdr:col>16</xdr:col>
      <xdr:colOff>46698</xdr:colOff>
      <xdr:row>39</xdr:row>
      <xdr:rowOff>102968</xdr:rowOff>
    </xdr:to>
    <xdr:sp macro="" textlink="">
      <xdr:nvSpPr>
        <xdr:cNvPr id="17" name="Rectangle: Rounded Corners 16">
          <a:extLst>
            <a:ext uri="{FF2B5EF4-FFF2-40B4-BE49-F238E27FC236}">
              <a16:creationId xmlns:a16="http://schemas.microsoft.com/office/drawing/2014/main" id="{B18C5228-B1BC-47AA-8C00-F24EC3C30462}"/>
            </a:ext>
          </a:extLst>
        </xdr:cNvPr>
        <xdr:cNvSpPr/>
      </xdr:nvSpPr>
      <xdr:spPr>
        <a:xfrm>
          <a:off x="3510401" y="5121018"/>
          <a:ext cx="6200687" cy="2230243"/>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478663</xdr:colOff>
      <xdr:row>41</xdr:row>
      <xdr:rowOff>149764</xdr:rowOff>
    </xdr:from>
    <xdr:to>
      <xdr:col>16</xdr:col>
      <xdr:colOff>35082</xdr:colOff>
      <xdr:row>53</xdr:row>
      <xdr:rowOff>149765</xdr:rowOff>
    </xdr:to>
    <xdr:sp macro="" textlink="">
      <xdr:nvSpPr>
        <xdr:cNvPr id="18" name="Rectangle: Rounded Corners 17">
          <a:extLst>
            <a:ext uri="{FF2B5EF4-FFF2-40B4-BE49-F238E27FC236}">
              <a16:creationId xmlns:a16="http://schemas.microsoft.com/office/drawing/2014/main" id="{5D325E0F-A9BC-48CA-BE07-5F522EBEB8FD}"/>
            </a:ext>
          </a:extLst>
        </xdr:cNvPr>
        <xdr:cNvSpPr/>
      </xdr:nvSpPr>
      <xdr:spPr>
        <a:xfrm>
          <a:off x="3498785" y="7769764"/>
          <a:ext cx="6200687" cy="2230245"/>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422275</xdr:colOff>
      <xdr:row>13</xdr:row>
      <xdr:rowOff>103639</xdr:rowOff>
    </xdr:from>
    <xdr:to>
      <xdr:col>21</xdr:col>
      <xdr:colOff>343196</xdr:colOff>
      <xdr:row>25</xdr:row>
      <xdr:rowOff>103639</xdr:rowOff>
    </xdr:to>
    <xdr:sp macro="" textlink="">
      <xdr:nvSpPr>
        <xdr:cNvPr id="19" name="Rectangle: Rounded Corners 18">
          <a:extLst>
            <a:ext uri="{FF2B5EF4-FFF2-40B4-BE49-F238E27FC236}">
              <a16:creationId xmlns:a16="http://schemas.microsoft.com/office/drawing/2014/main" id="{562802A2-443D-4B60-984C-6233C08574E6}"/>
            </a:ext>
          </a:extLst>
        </xdr:cNvPr>
        <xdr:cNvSpPr/>
      </xdr:nvSpPr>
      <xdr:spPr>
        <a:xfrm>
          <a:off x="10134040" y="2531580"/>
          <a:ext cx="2955847" cy="2241177"/>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2578</xdr:colOff>
      <xdr:row>30</xdr:row>
      <xdr:rowOff>16031</xdr:rowOff>
    </xdr:from>
    <xdr:to>
      <xdr:col>5</xdr:col>
      <xdr:colOff>156697</xdr:colOff>
      <xdr:row>37</xdr:row>
      <xdr:rowOff>20229</xdr:rowOff>
    </xdr:to>
    <mc:AlternateContent xmlns:mc="http://schemas.openxmlformats.org/markup-compatibility/2006">
      <mc:Choice xmlns:a14="http://schemas.microsoft.com/office/drawing/2010/main" Requires="a14">
        <xdr:graphicFrame macro="">
          <xdr:nvGraphicFramePr>
            <xdr:cNvPr id="11" name="Departments">
              <a:extLst>
                <a:ext uri="{FF2B5EF4-FFF2-40B4-BE49-F238E27FC236}">
                  <a16:creationId xmlns:a16="http://schemas.microsoft.com/office/drawing/2014/main" id="{EE952BE2-FFB5-47E0-B5C9-450AEC41D9AB}"/>
                </a:ext>
              </a:extLst>
            </xdr:cNvPr>
            <xdr:cNvGraphicFramePr/>
          </xdr:nvGraphicFramePr>
          <xdr:xfrm>
            <a:off x="0" y="0"/>
            <a:ext cx="0" cy="0"/>
          </xdr:xfrm>
          <a:graphic>
            <a:graphicData uri="http://schemas.microsoft.com/office/drawing/2010/slicer">
              <sle:slicer xmlns:sle="http://schemas.microsoft.com/office/drawing/2010/slicer" name="Departments"/>
            </a:graphicData>
          </a:graphic>
        </xdr:graphicFrame>
      </mc:Choice>
      <mc:Fallback>
        <xdr:sp macro="" textlink="">
          <xdr:nvSpPr>
            <xdr:cNvPr id="0" name=""/>
            <xdr:cNvSpPr>
              <a:spLocks noTextEdit="1"/>
            </xdr:cNvSpPr>
          </xdr:nvSpPr>
          <xdr:spPr>
            <a:xfrm>
              <a:off x="1831378" y="5731031"/>
              <a:ext cx="1373319" cy="133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422275</xdr:colOff>
      <xdr:row>27</xdr:row>
      <xdr:rowOff>128105</xdr:rowOff>
    </xdr:from>
    <xdr:to>
      <xdr:col>21</xdr:col>
      <xdr:colOff>343196</xdr:colOff>
      <xdr:row>39</xdr:row>
      <xdr:rowOff>128104</xdr:rowOff>
    </xdr:to>
    <xdr:sp macro="" textlink="">
      <xdr:nvSpPr>
        <xdr:cNvPr id="20" name="Rectangle: Rounded Corners 19">
          <a:extLst>
            <a:ext uri="{FF2B5EF4-FFF2-40B4-BE49-F238E27FC236}">
              <a16:creationId xmlns:a16="http://schemas.microsoft.com/office/drawing/2014/main" id="{7979AFE7-702E-4708-A955-EED5A7D078AF}"/>
            </a:ext>
          </a:extLst>
        </xdr:cNvPr>
        <xdr:cNvSpPr/>
      </xdr:nvSpPr>
      <xdr:spPr>
        <a:xfrm>
          <a:off x="10134040" y="5170752"/>
          <a:ext cx="2955847" cy="2241176"/>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422275</xdr:colOff>
      <xdr:row>41</xdr:row>
      <xdr:rowOff>149764</xdr:rowOff>
    </xdr:from>
    <xdr:to>
      <xdr:col>21</xdr:col>
      <xdr:colOff>343196</xdr:colOff>
      <xdr:row>53</xdr:row>
      <xdr:rowOff>149765</xdr:rowOff>
    </xdr:to>
    <xdr:sp macro="" textlink="">
      <xdr:nvSpPr>
        <xdr:cNvPr id="21" name="Rectangle: Rounded Corners 20">
          <a:extLst>
            <a:ext uri="{FF2B5EF4-FFF2-40B4-BE49-F238E27FC236}">
              <a16:creationId xmlns:a16="http://schemas.microsoft.com/office/drawing/2014/main" id="{0ADA64CA-4DAC-45C0-A1F4-B2DAA3ACDCF1}"/>
            </a:ext>
          </a:extLst>
        </xdr:cNvPr>
        <xdr:cNvSpPr/>
      </xdr:nvSpPr>
      <xdr:spPr>
        <a:xfrm>
          <a:off x="10134040" y="7807117"/>
          <a:ext cx="2955847" cy="2241177"/>
        </a:xfrm>
        <a:prstGeom prst="roundRect">
          <a:avLst/>
        </a:prstGeom>
        <a:solidFill>
          <a:schemeClr val="tx1">
            <a:lumMod val="95000"/>
            <a:lumOff val="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496203</xdr:colOff>
      <xdr:row>14</xdr:row>
      <xdr:rowOff>110775</xdr:rowOff>
    </xdr:from>
    <xdr:to>
      <xdr:col>21</xdr:col>
      <xdr:colOff>262156</xdr:colOff>
      <xdr:row>23</xdr:row>
      <xdr:rowOff>64753</xdr:rowOff>
    </xdr:to>
    <xdr:graphicFrame macro="">
      <xdr:nvGraphicFramePr>
        <xdr:cNvPr id="22" name="Chart 21">
          <a:extLst>
            <a:ext uri="{FF2B5EF4-FFF2-40B4-BE49-F238E27FC236}">
              <a16:creationId xmlns:a16="http://schemas.microsoft.com/office/drawing/2014/main" id="{9C8AF567-6B64-4411-BBDC-94E6060AC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116500</xdr:colOff>
      <xdr:row>23</xdr:row>
      <xdr:rowOff>13150</xdr:rowOff>
    </xdr:from>
    <xdr:to>
      <xdr:col>20</xdr:col>
      <xdr:colOff>572878</xdr:colOff>
      <xdr:row>25</xdr:row>
      <xdr:rowOff>81504</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3863BDE1-3FF4-4C20-B523-5C02B042BF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79700" y="4394650"/>
              <a:ext cx="2285178" cy="44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569705</xdr:colOff>
      <xdr:row>13</xdr:row>
      <xdr:rowOff>112059</xdr:rowOff>
    </xdr:from>
    <xdr:to>
      <xdr:col>20</xdr:col>
      <xdr:colOff>460550</xdr:colOff>
      <xdr:row>15</xdr:row>
      <xdr:rowOff>93381</xdr:rowOff>
    </xdr:to>
    <xdr:sp macro="" textlink="">
      <xdr:nvSpPr>
        <xdr:cNvPr id="25" name="TextBox 24">
          <a:extLst>
            <a:ext uri="{FF2B5EF4-FFF2-40B4-BE49-F238E27FC236}">
              <a16:creationId xmlns:a16="http://schemas.microsoft.com/office/drawing/2014/main" id="{2FE0AF1D-97A2-2FCD-227D-69ABA81DDFD3}"/>
            </a:ext>
          </a:extLst>
        </xdr:cNvPr>
        <xdr:cNvSpPr txBox="1"/>
      </xdr:nvSpPr>
      <xdr:spPr>
        <a:xfrm>
          <a:off x="10888455" y="2540000"/>
          <a:ext cx="1711801" cy="35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Annual Profit</a:t>
          </a:r>
          <a:endParaRPr lang="en-IN" sz="1400">
            <a:solidFill>
              <a:schemeClr val="bg1"/>
            </a:solidFill>
          </a:endParaRPr>
        </a:p>
      </xdr:txBody>
    </xdr:sp>
    <xdr:clientData/>
  </xdr:twoCellAnchor>
  <xdr:twoCellAnchor>
    <xdr:from>
      <xdr:col>0</xdr:col>
      <xdr:colOff>0</xdr:colOff>
      <xdr:row>25</xdr:row>
      <xdr:rowOff>148716</xdr:rowOff>
    </xdr:from>
    <xdr:to>
      <xdr:col>3</xdr:col>
      <xdr:colOff>330776</xdr:colOff>
      <xdr:row>41</xdr:row>
      <xdr:rowOff>27408</xdr:rowOff>
    </xdr:to>
    <xdr:graphicFrame macro="">
      <xdr:nvGraphicFramePr>
        <xdr:cNvPr id="26" name="Chart 25">
          <a:extLst>
            <a:ext uri="{FF2B5EF4-FFF2-40B4-BE49-F238E27FC236}">
              <a16:creationId xmlns:a16="http://schemas.microsoft.com/office/drawing/2014/main" id="{21CEF9F1-FF66-4DEE-9EF7-4F7E15718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40365</xdr:colOff>
      <xdr:row>32</xdr:row>
      <xdr:rowOff>3930</xdr:rowOff>
    </xdr:from>
    <xdr:to>
      <xdr:col>2</xdr:col>
      <xdr:colOff>335015</xdr:colOff>
      <xdr:row>34</xdr:row>
      <xdr:rowOff>108093</xdr:rowOff>
    </xdr:to>
    <xdr:sp macro="" textlink="Process!O16">
      <xdr:nvSpPr>
        <xdr:cNvPr id="27" name="TextBox 26">
          <a:extLst>
            <a:ext uri="{FF2B5EF4-FFF2-40B4-BE49-F238E27FC236}">
              <a16:creationId xmlns:a16="http://schemas.microsoft.com/office/drawing/2014/main" id="{3F417BC9-1852-3322-C4E2-FD49327F2312}"/>
            </a:ext>
          </a:extLst>
        </xdr:cNvPr>
        <xdr:cNvSpPr txBox="1"/>
      </xdr:nvSpPr>
      <xdr:spPr>
        <a:xfrm>
          <a:off x="647350" y="5980401"/>
          <a:ext cx="901636" cy="477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DBCC00-960E-40F8-BA53-E885500EF195}" type="TxLink">
            <a:rPr lang="en-US" sz="2000" b="0" i="0" u="none" strike="noStrike">
              <a:solidFill>
                <a:schemeClr val="bg1"/>
              </a:solidFill>
              <a:latin typeface="Aptos Narrow"/>
            </a:rPr>
            <a:pPr/>
            <a:t> 8,924 </a:t>
          </a:fld>
          <a:endParaRPr lang="en-IN" sz="2000">
            <a:solidFill>
              <a:schemeClr val="bg1"/>
            </a:solidFill>
          </a:endParaRPr>
        </a:p>
      </xdr:txBody>
    </xdr:sp>
    <xdr:clientData/>
  </xdr:twoCellAnchor>
  <xdr:twoCellAnchor>
    <xdr:from>
      <xdr:col>1</xdr:col>
      <xdr:colOff>533537</xdr:colOff>
      <xdr:row>27</xdr:row>
      <xdr:rowOff>56029</xdr:rowOff>
    </xdr:from>
    <xdr:to>
      <xdr:col>3</xdr:col>
      <xdr:colOff>590968</xdr:colOff>
      <xdr:row>28</xdr:row>
      <xdr:rowOff>186763</xdr:rowOff>
    </xdr:to>
    <xdr:sp macro="" textlink="">
      <xdr:nvSpPr>
        <xdr:cNvPr id="28" name="TextBox 27">
          <a:extLst>
            <a:ext uri="{FF2B5EF4-FFF2-40B4-BE49-F238E27FC236}">
              <a16:creationId xmlns:a16="http://schemas.microsoft.com/office/drawing/2014/main" id="{E9489F66-9367-03CE-482E-5AB160440E4D}"/>
            </a:ext>
          </a:extLst>
        </xdr:cNvPr>
        <xdr:cNvSpPr txBox="1"/>
      </xdr:nvSpPr>
      <xdr:spPr>
        <a:xfrm>
          <a:off x="1140522" y="5098676"/>
          <a:ext cx="1271402"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Departments</a:t>
          </a:r>
        </a:p>
      </xdr:txBody>
    </xdr:sp>
    <xdr:clientData/>
  </xdr:twoCellAnchor>
  <xdr:twoCellAnchor>
    <xdr:from>
      <xdr:col>6</xdr:col>
      <xdr:colOff>64487</xdr:colOff>
      <xdr:row>28</xdr:row>
      <xdr:rowOff>31803</xdr:rowOff>
    </xdr:from>
    <xdr:to>
      <xdr:col>15</xdr:col>
      <xdr:colOff>497160</xdr:colOff>
      <xdr:row>38</xdr:row>
      <xdr:rowOff>120023</xdr:rowOff>
    </xdr:to>
    <xdr:graphicFrame macro="">
      <xdr:nvGraphicFramePr>
        <xdr:cNvPr id="29" name="Chart 28">
          <a:extLst>
            <a:ext uri="{FF2B5EF4-FFF2-40B4-BE49-F238E27FC236}">
              <a16:creationId xmlns:a16="http://schemas.microsoft.com/office/drawing/2014/main" id="{0EF9DCB3-C58A-4168-83BC-70DC86A0B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218488</xdr:colOff>
      <xdr:row>36</xdr:row>
      <xdr:rowOff>139913</xdr:rowOff>
    </xdr:from>
    <xdr:to>
      <xdr:col>15</xdr:col>
      <xdr:colOff>340504</xdr:colOff>
      <xdr:row>38</xdr:row>
      <xdr:rowOff>169678</xdr:rowOff>
    </xdr:to>
    <mc:AlternateContent xmlns:mc="http://schemas.openxmlformats.org/markup-compatibility/2006">
      <mc:Choice xmlns:a14="http://schemas.microsoft.com/office/drawing/2010/main" Requires="a14">
        <xdr:graphicFrame macro="">
          <xdr:nvGraphicFramePr>
            <xdr:cNvPr id="30" name="Name Month 1">
              <a:extLst>
                <a:ext uri="{FF2B5EF4-FFF2-40B4-BE49-F238E27FC236}">
                  <a16:creationId xmlns:a16="http://schemas.microsoft.com/office/drawing/2014/main" id="{9753C1B4-669C-4E8B-9A37-83AA4C10365B}"/>
                </a:ext>
              </a:extLst>
            </xdr:cNvPr>
            <xdr:cNvGraphicFramePr/>
          </xdr:nvGraphicFramePr>
          <xdr:xfrm>
            <a:off x="0" y="0"/>
            <a:ext cx="0" cy="0"/>
          </xdr:xfrm>
          <a:graphic>
            <a:graphicData uri="http://schemas.microsoft.com/office/drawing/2010/slicer">
              <sle:slicer xmlns:sle="http://schemas.microsoft.com/office/drawing/2010/slicer" name="Name Month 1"/>
            </a:graphicData>
          </a:graphic>
        </xdr:graphicFrame>
      </mc:Choice>
      <mc:Fallback>
        <xdr:sp macro="" textlink="">
          <xdr:nvSpPr>
            <xdr:cNvPr id="0" name=""/>
            <xdr:cNvSpPr>
              <a:spLocks noTextEdit="1"/>
            </xdr:cNvSpPr>
          </xdr:nvSpPr>
          <xdr:spPr>
            <a:xfrm>
              <a:off x="3876088" y="6997913"/>
              <a:ext cx="5608416" cy="410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554832</xdr:colOff>
      <xdr:row>27</xdr:row>
      <xdr:rowOff>98819</xdr:rowOff>
    </xdr:from>
    <xdr:to>
      <xdr:col>21</xdr:col>
      <xdr:colOff>251212</xdr:colOff>
      <xdr:row>39</xdr:row>
      <xdr:rowOff>98820</xdr:rowOff>
    </xdr:to>
    <xdr:graphicFrame macro="">
      <xdr:nvGraphicFramePr>
        <xdr:cNvPr id="31" name="Chart 30">
          <a:extLst>
            <a:ext uri="{FF2B5EF4-FFF2-40B4-BE49-F238E27FC236}">
              <a16:creationId xmlns:a16="http://schemas.microsoft.com/office/drawing/2014/main" id="{DF4D836F-0D67-420B-BEF8-8A9B9FE49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203526</xdr:colOff>
      <xdr:row>41</xdr:row>
      <xdr:rowOff>183882</xdr:rowOff>
    </xdr:from>
    <xdr:to>
      <xdr:col>5</xdr:col>
      <xdr:colOff>16282</xdr:colOff>
      <xdr:row>53</xdr:row>
      <xdr:rowOff>102473</xdr:rowOff>
    </xdr:to>
    <xdr:graphicFrame macro="">
      <xdr:nvGraphicFramePr>
        <xdr:cNvPr id="32" name="Chart 31">
          <a:extLst>
            <a:ext uri="{FF2B5EF4-FFF2-40B4-BE49-F238E27FC236}">
              <a16:creationId xmlns:a16="http://schemas.microsoft.com/office/drawing/2014/main" id="{A8F2CC7D-16B2-4C3A-ADD1-632B7B68B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588566</xdr:colOff>
      <xdr:row>41</xdr:row>
      <xdr:rowOff>85115</xdr:rowOff>
    </xdr:from>
    <xdr:to>
      <xdr:col>15</xdr:col>
      <xdr:colOff>527876</xdr:colOff>
      <xdr:row>52</xdr:row>
      <xdr:rowOff>174766</xdr:rowOff>
    </xdr:to>
    <xdr:graphicFrame macro="">
      <xdr:nvGraphicFramePr>
        <xdr:cNvPr id="33" name="Chart 32">
          <a:extLst>
            <a:ext uri="{FF2B5EF4-FFF2-40B4-BE49-F238E27FC236}">
              <a16:creationId xmlns:a16="http://schemas.microsoft.com/office/drawing/2014/main" id="{58348CA1-DAE3-4FAB-8C2E-1FA57BF58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254222</xdr:colOff>
      <xdr:row>50</xdr:row>
      <xdr:rowOff>154435</xdr:rowOff>
    </xdr:from>
    <xdr:to>
      <xdr:col>15</xdr:col>
      <xdr:colOff>462627</xdr:colOff>
      <xdr:row>53</xdr:row>
      <xdr:rowOff>39850</xdr:rowOff>
    </xdr:to>
    <mc:AlternateContent xmlns:mc="http://schemas.openxmlformats.org/markup-compatibility/2006">
      <mc:Choice xmlns:a14="http://schemas.microsoft.com/office/drawing/2010/main" Requires="a14">
        <xdr:graphicFrame macro="">
          <xdr:nvGraphicFramePr>
            <xdr:cNvPr id="34" name="Name Month 2">
              <a:extLst>
                <a:ext uri="{FF2B5EF4-FFF2-40B4-BE49-F238E27FC236}">
                  <a16:creationId xmlns:a16="http://schemas.microsoft.com/office/drawing/2014/main" id="{8A07BAB3-3C65-4F3E-AC2F-A48C357F099E}"/>
                </a:ext>
              </a:extLst>
            </xdr:cNvPr>
            <xdr:cNvGraphicFramePr/>
          </xdr:nvGraphicFramePr>
          <xdr:xfrm>
            <a:off x="0" y="0"/>
            <a:ext cx="0" cy="0"/>
          </xdr:xfrm>
          <a:graphic>
            <a:graphicData uri="http://schemas.microsoft.com/office/drawing/2010/slicer">
              <sle:slicer xmlns:sle="http://schemas.microsoft.com/office/drawing/2010/slicer" name="Name Month 2"/>
            </a:graphicData>
          </a:graphic>
        </xdr:graphicFrame>
      </mc:Choice>
      <mc:Fallback>
        <xdr:sp macro="" textlink="">
          <xdr:nvSpPr>
            <xdr:cNvPr id="0" name=""/>
            <xdr:cNvSpPr>
              <a:spLocks noTextEdit="1"/>
            </xdr:cNvSpPr>
          </xdr:nvSpPr>
          <xdr:spPr>
            <a:xfrm>
              <a:off x="3911822" y="9679435"/>
              <a:ext cx="5694805" cy="45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361394</xdr:colOff>
      <xdr:row>42</xdr:row>
      <xdr:rowOff>37344</xdr:rowOff>
    </xdr:from>
    <xdr:to>
      <xdr:col>21</xdr:col>
      <xdr:colOff>389193</xdr:colOff>
      <xdr:row>54</xdr:row>
      <xdr:rowOff>5719</xdr:rowOff>
    </xdr:to>
    <xdr:graphicFrame macro="">
      <xdr:nvGraphicFramePr>
        <xdr:cNvPr id="35" name="Chart 34">
          <a:extLst>
            <a:ext uri="{FF2B5EF4-FFF2-40B4-BE49-F238E27FC236}">
              <a16:creationId xmlns:a16="http://schemas.microsoft.com/office/drawing/2014/main" id="{50F9F686-DDC9-411E-A83E-79BC3B328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188516</xdr:colOff>
      <xdr:row>3</xdr:row>
      <xdr:rowOff>59085</xdr:rowOff>
    </xdr:from>
    <xdr:to>
      <xdr:col>5</xdr:col>
      <xdr:colOff>277811</xdr:colOff>
      <xdr:row>11</xdr:row>
      <xdr:rowOff>156552</xdr:rowOff>
    </xdr:to>
    <xdr:sp macro="" textlink="">
      <xdr:nvSpPr>
        <xdr:cNvPr id="36" name="Rectangle: Rounded Corners 35">
          <a:extLst>
            <a:ext uri="{FF2B5EF4-FFF2-40B4-BE49-F238E27FC236}">
              <a16:creationId xmlns:a16="http://schemas.microsoft.com/office/drawing/2014/main" id="{73EF41D6-23DE-4AED-8E25-726C94B86D5E}"/>
            </a:ext>
          </a:extLst>
        </xdr:cNvPr>
        <xdr:cNvSpPr/>
      </xdr:nvSpPr>
      <xdr:spPr>
        <a:xfrm>
          <a:off x="188516" y="619379"/>
          <a:ext cx="3124221" cy="1591585"/>
        </a:xfrm>
        <a:prstGeom prst="roundRect">
          <a:avLst/>
        </a:prstGeom>
        <a:gradFill>
          <a:gsLst>
            <a:gs pos="55000">
              <a:srgbClr val="A6A6A6">
                <a:alpha val="46000"/>
              </a:srgbClr>
            </a:gs>
            <a:gs pos="100000">
              <a:srgbClr val="A6A6A6"/>
            </a:gs>
          </a:gsLst>
          <a:lin ang="2700000" scaled="0"/>
        </a:gradFill>
        <a:ln>
          <a:no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496093</xdr:colOff>
      <xdr:row>3</xdr:row>
      <xdr:rowOff>78929</xdr:rowOff>
    </xdr:from>
    <xdr:to>
      <xdr:col>10</xdr:col>
      <xdr:colOff>588025</xdr:colOff>
      <xdr:row>11</xdr:row>
      <xdr:rowOff>176396</xdr:rowOff>
    </xdr:to>
    <xdr:sp macro="" textlink="">
      <xdr:nvSpPr>
        <xdr:cNvPr id="37" name="Rectangle: Rounded Corners 36">
          <a:extLst>
            <a:ext uri="{FF2B5EF4-FFF2-40B4-BE49-F238E27FC236}">
              <a16:creationId xmlns:a16="http://schemas.microsoft.com/office/drawing/2014/main" id="{758557E6-0784-42D1-861F-FE2E2D248CB8}"/>
            </a:ext>
          </a:extLst>
        </xdr:cNvPr>
        <xdr:cNvSpPr/>
      </xdr:nvSpPr>
      <xdr:spPr>
        <a:xfrm>
          <a:off x="3531019" y="639223"/>
          <a:ext cx="3126859" cy="1591585"/>
        </a:xfrm>
        <a:prstGeom prst="roundRect">
          <a:avLst/>
        </a:prstGeom>
        <a:gradFill>
          <a:gsLst>
            <a:gs pos="55000">
              <a:srgbClr val="73B26E">
                <a:alpha val="26000"/>
              </a:srgbClr>
            </a:gs>
            <a:gs pos="100000">
              <a:srgbClr val="73B26E"/>
            </a:gs>
          </a:gsLst>
          <a:lin ang="2700000" scaled="0"/>
        </a:gradFill>
        <a:ln>
          <a:no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420291</xdr:colOff>
      <xdr:row>3</xdr:row>
      <xdr:rowOff>78929</xdr:rowOff>
    </xdr:from>
    <xdr:to>
      <xdr:col>21</xdr:col>
      <xdr:colOff>512223</xdr:colOff>
      <xdr:row>11</xdr:row>
      <xdr:rowOff>176396</xdr:rowOff>
    </xdr:to>
    <xdr:sp macro="" textlink="">
      <xdr:nvSpPr>
        <xdr:cNvPr id="38" name="Rectangle: Rounded Corners 37">
          <a:extLst>
            <a:ext uri="{FF2B5EF4-FFF2-40B4-BE49-F238E27FC236}">
              <a16:creationId xmlns:a16="http://schemas.microsoft.com/office/drawing/2014/main" id="{CC905192-1918-40F7-AE93-467D746C22D6}"/>
            </a:ext>
          </a:extLst>
        </xdr:cNvPr>
        <xdr:cNvSpPr/>
      </xdr:nvSpPr>
      <xdr:spPr>
        <a:xfrm>
          <a:off x="10132056" y="639223"/>
          <a:ext cx="3126858" cy="1591585"/>
        </a:xfrm>
        <a:prstGeom prst="roundRect">
          <a:avLst/>
        </a:prstGeom>
        <a:gradFill>
          <a:gsLst>
            <a:gs pos="49000">
              <a:srgbClr val="366A8A">
                <a:alpha val="49000"/>
              </a:srgbClr>
            </a:gs>
            <a:gs pos="100000">
              <a:srgbClr val="0070C0"/>
            </a:gs>
          </a:gsLst>
          <a:lin ang="2700000" scaled="0"/>
        </a:gradFill>
        <a:ln>
          <a:no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146051</xdr:colOff>
      <xdr:row>3</xdr:row>
      <xdr:rowOff>78929</xdr:rowOff>
    </xdr:from>
    <xdr:to>
      <xdr:col>16</xdr:col>
      <xdr:colOff>237983</xdr:colOff>
      <xdr:row>11</xdr:row>
      <xdr:rowOff>176396</xdr:rowOff>
    </xdr:to>
    <xdr:sp macro="" textlink="">
      <xdr:nvSpPr>
        <xdr:cNvPr id="39" name="Rectangle: Rounded Corners 38">
          <a:extLst>
            <a:ext uri="{FF2B5EF4-FFF2-40B4-BE49-F238E27FC236}">
              <a16:creationId xmlns:a16="http://schemas.microsoft.com/office/drawing/2014/main" id="{6ABF0B64-FD1D-456B-A4A1-CCD69FDC49D5}"/>
            </a:ext>
          </a:extLst>
        </xdr:cNvPr>
        <xdr:cNvSpPr/>
      </xdr:nvSpPr>
      <xdr:spPr>
        <a:xfrm>
          <a:off x="6822889" y="639223"/>
          <a:ext cx="3126859" cy="1591585"/>
        </a:xfrm>
        <a:prstGeom prst="roundRect">
          <a:avLst/>
        </a:prstGeom>
        <a:gradFill>
          <a:gsLst>
            <a:gs pos="49000">
              <a:srgbClr val="7F5E9A">
                <a:alpha val="45882"/>
              </a:srgbClr>
            </a:gs>
            <a:gs pos="100000">
              <a:srgbClr val="9949E9"/>
            </a:gs>
          </a:gsLst>
          <a:lin ang="2700000" scaled="0"/>
        </a:gradFill>
        <a:ln>
          <a:noFill/>
        </a:ln>
        <a:effectLst>
          <a:outerShdw blurRad="50800" dist="254000" dir="2700000" algn="ctr" rotWithShape="0">
            <a:schemeClr val="tx1">
              <a:alpha val="4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355215</xdr:colOff>
      <xdr:row>3</xdr:row>
      <xdr:rowOff>93972</xdr:rowOff>
    </xdr:from>
    <xdr:to>
      <xdr:col>2</xdr:col>
      <xdr:colOff>402169</xdr:colOff>
      <xdr:row>5</xdr:row>
      <xdr:rowOff>26894</xdr:rowOff>
    </xdr:to>
    <xdr:sp macro="" textlink="">
      <xdr:nvSpPr>
        <xdr:cNvPr id="40" name="TextBox 39">
          <a:extLst>
            <a:ext uri="{FF2B5EF4-FFF2-40B4-BE49-F238E27FC236}">
              <a16:creationId xmlns:a16="http://schemas.microsoft.com/office/drawing/2014/main" id="{0AE39004-33A9-D4A0-01F0-F762866D84C6}"/>
            </a:ext>
          </a:extLst>
        </xdr:cNvPr>
        <xdr:cNvSpPr txBox="1"/>
      </xdr:nvSpPr>
      <xdr:spPr>
        <a:xfrm>
          <a:off x="355215" y="654266"/>
          <a:ext cx="1260925" cy="30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KPI Sales</a:t>
          </a:r>
        </a:p>
      </xdr:txBody>
    </xdr:sp>
    <xdr:clientData/>
  </xdr:twoCellAnchor>
  <xdr:twoCellAnchor>
    <xdr:from>
      <xdr:col>0</xdr:col>
      <xdr:colOff>317501</xdr:colOff>
      <xdr:row>9</xdr:row>
      <xdr:rowOff>11942</xdr:rowOff>
    </xdr:from>
    <xdr:to>
      <xdr:col>2</xdr:col>
      <xdr:colOff>380165</xdr:colOff>
      <xdr:row>11</xdr:row>
      <xdr:rowOff>30742</xdr:rowOff>
    </xdr:to>
    <xdr:sp macro="" textlink="Process!$N$31">
      <xdr:nvSpPr>
        <xdr:cNvPr id="41" name="TextBox 40">
          <a:extLst>
            <a:ext uri="{FF2B5EF4-FFF2-40B4-BE49-F238E27FC236}">
              <a16:creationId xmlns:a16="http://schemas.microsoft.com/office/drawing/2014/main" id="{C9CBB434-A375-CD28-9B07-C34B746823F9}"/>
            </a:ext>
          </a:extLst>
        </xdr:cNvPr>
        <xdr:cNvSpPr txBox="1"/>
      </xdr:nvSpPr>
      <xdr:spPr>
        <a:xfrm>
          <a:off x="317501" y="1692824"/>
          <a:ext cx="1276635" cy="3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093AD3-4F5F-47D8-9CC1-2167867C33BE}" type="TxLink">
            <a:rPr lang="en-US" sz="2400" b="0" i="0" u="none" strike="noStrike">
              <a:solidFill>
                <a:schemeClr val="bg1"/>
              </a:solidFill>
              <a:latin typeface="Aptos Narrow"/>
            </a:rPr>
            <a:pPr/>
            <a:t> 8,924 </a:t>
          </a:fld>
          <a:endParaRPr lang="en-IN" sz="2400">
            <a:solidFill>
              <a:schemeClr val="bg1"/>
            </a:solidFill>
          </a:endParaRPr>
        </a:p>
      </xdr:txBody>
    </xdr:sp>
    <xdr:clientData/>
  </xdr:twoCellAnchor>
  <xdr:twoCellAnchor>
    <xdr:from>
      <xdr:col>5</xdr:col>
      <xdr:colOff>601264</xdr:colOff>
      <xdr:row>3</xdr:row>
      <xdr:rowOff>100095</xdr:rowOff>
    </xdr:from>
    <xdr:to>
      <xdr:col>9</xdr:col>
      <xdr:colOff>21167</xdr:colOff>
      <xdr:row>5</xdr:row>
      <xdr:rowOff>33017</xdr:rowOff>
    </xdr:to>
    <xdr:sp macro="" textlink="">
      <xdr:nvSpPr>
        <xdr:cNvPr id="42" name="TextBox 41">
          <a:extLst>
            <a:ext uri="{FF2B5EF4-FFF2-40B4-BE49-F238E27FC236}">
              <a16:creationId xmlns:a16="http://schemas.microsoft.com/office/drawing/2014/main" id="{F5C185B5-1FD6-440D-A2F0-D8F226F81643}"/>
            </a:ext>
          </a:extLst>
        </xdr:cNvPr>
        <xdr:cNvSpPr txBox="1"/>
      </xdr:nvSpPr>
      <xdr:spPr>
        <a:xfrm>
          <a:off x="3636190" y="660389"/>
          <a:ext cx="1847845" cy="30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KPI New</a:t>
          </a:r>
          <a:r>
            <a:rPr lang="en-IN" sz="1800" baseline="0">
              <a:solidFill>
                <a:schemeClr val="bg1"/>
              </a:solidFill>
            </a:rPr>
            <a:t> Clients</a:t>
          </a:r>
          <a:endParaRPr lang="en-IN" sz="1800">
            <a:solidFill>
              <a:schemeClr val="bg1"/>
            </a:solidFill>
          </a:endParaRPr>
        </a:p>
      </xdr:txBody>
    </xdr:sp>
    <xdr:clientData/>
  </xdr:twoCellAnchor>
  <xdr:twoCellAnchor>
    <xdr:from>
      <xdr:col>11</xdr:col>
      <xdr:colOff>316044</xdr:colOff>
      <xdr:row>3</xdr:row>
      <xdr:rowOff>78929</xdr:rowOff>
    </xdr:from>
    <xdr:to>
      <xdr:col>13</xdr:col>
      <xdr:colOff>362999</xdr:colOff>
      <xdr:row>5</xdr:row>
      <xdr:rowOff>11851</xdr:rowOff>
    </xdr:to>
    <xdr:sp macro="" textlink="">
      <xdr:nvSpPr>
        <xdr:cNvPr id="44" name="TextBox 43">
          <a:extLst>
            <a:ext uri="{FF2B5EF4-FFF2-40B4-BE49-F238E27FC236}">
              <a16:creationId xmlns:a16="http://schemas.microsoft.com/office/drawing/2014/main" id="{A0C52D95-563D-4730-AA63-E3712EE80D5C}"/>
            </a:ext>
          </a:extLst>
        </xdr:cNvPr>
        <xdr:cNvSpPr txBox="1"/>
      </xdr:nvSpPr>
      <xdr:spPr>
        <a:xfrm>
          <a:off x="6992882" y="639223"/>
          <a:ext cx="1260926" cy="30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KPI Costs</a:t>
          </a:r>
        </a:p>
      </xdr:txBody>
    </xdr:sp>
    <xdr:clientData/>
  </xdr:twoCellAnchor>
  <xdr:twoCellAnchor>
    <xdr:from>
      <xdr:col>16</xdr:col>
      <xdr:colOff>557876</xdr:colOff>
      <xdr:row>3</xdr:row>
      <xdr:rowOff>78929</xdr:rowOff>
    </xdr:from>
    <xdr:to>
      <xdr:col>20</xdr:col>
      <xdr:colOff>105833</xdr:colOff>
      <xdr:row>5</xdr:row>
      <xdr:rowOff>11851</xdr:rowOff>
    </xdr:to>
    <xdr:sp macro="" textlink="">
      <xdr:nvSpPr>
        <xdr:cNvPr id="45" name="TextBox 44">
          <a:extLst>
            <a:ext uri="{FF2B5EF4-FFF2-40B4-BE49-F238E27FC236}">
              <a16:creationId xmlns:a16="http://schemas.microsoft.com/office/drawing/2014/main" id="{A80E3F67-DD1E-414F-8D63-055281356381}"/>
            </a:ext>
          </a:extLst>
        </xdr:cNvPr>
        <xdr:cNvSpPr txBox="1"/>
      </xdr:nvSpPr>
      <xdr:spPr>
        <a:xfrm>
          <a:off x="10269641" y="639223"/>
          <a:ext cx="1975898" cy="30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KPI Average</a:t>
          </a:r>
          <a:r>
            <a:rPr lang="en-IN" sz="1800" baseline="0">
              <a:solidFill>
                <a:schemeClr val="bg1"/>
              </a:solidFill>
            </a:rPr>
            <a:t> Check</a:t>
          </a:r>
          <a:endParaRPr lang="en-IN" sz="1800">
            <a:solidFill>
              <a:schemeClr val="bg1"/>
            </a:solidFill>
          </a:endParaRPr>
        </a:p>
      </xdr:txBody>
    </xdr:sp>
    <xdr:clientData/>
  </xdr:twoCellAnchor>
  <xdr:twoCellAnchor>
    <xdr:from>
      <xdr:col>5</xdr:col>
      <xdr:colOff>590678</xdr:colOff>
      <xdr:row>8</xdr:row>
      <xdr:rowOff>181029</xdr:rowOff>
    </xdr:from>
    <xdr:to>
      <xdr:col>8</xdr:col>
      <xdr:colOff>39509</xdr:colOff>
      <xdr:row>11</xdr:row>
      <xdr:rowOff>13065</xdr:rowOff>
    </xdr:to>
    <xdr:sp macro="" textlink="Process!$D$15">
      <xdr:nvSpPr>
        <xdr:cNvPr id="46" name="TextBox 45">
          <a:extLst>
            <a:ext uri="{FF2B5EF4-FFF2-40B4-BE49-F238E27FC236}">
              <a16:creationId xmlns:a16="http://schemas.microsoft.com/office/drawing/2014/main" id="{6010DED3-EA3F-4566-BE85-1CF3ADA95F0E}"/>
            </a:ext>
          </a:extLst>
        </xdr:cNvPr>
        <xdr:cNvSpPr txBox="1"/>
      </xdr:nvSpPr>
      <xdr:spPr>
        <a:xfrm>
          <a:off x="3625604" y="1675147"/>
          <a:ext cx="1269787" cy="3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72869E-6EC4-4567-A016-109FAF55A1A1}" type="TxLink">
            <a:rPr lang="en-US" sz="2400" b="0" i="0" u="none" strike="noStrike">
              <a:solidFill>
                <a:schemeClr val="bg1"/>
              </a:solidFill>
              <a:latin typeface="Aptos Narrow"/>
            </a:rPr>
            <a:pPr/>
            <a:t>11,901</a:t>
          </a:fld>
          <a:endParaRPr lang="en-IN" sz="2400">
            <a:solidFill>
              <a:schemeClr val="bg1"/>
            </a:solidFill>
          </a:endParaRPr>
        </a:p>
      </xdr:txBody>
    </xdr:sp>
    <xdr:clientData/>
  </xdr:twoCellAnchor>
  <xdr:twoCellAnchor>
    <xdr:from>
      <xdr:col>11</xdr:col>
      <xdr:colOff>189041</xdr:colOff>
      <xdr:row>8</xdr:row>
      <xdr:rowOff>170446</xdr:rowOff>
    </xdr:from>
    <xdr:to>
      <xdr:col>13</xdr:col>
      <xdr:colOff>251706</xdr:colOff>
      <xdr:row>11</xdr:row>
      <xdr:rowOff>2482</xdr:rowOff>
    </xdr:to>
    <xdr:sp macro="" textlink="Process!$O$31">
      <xdr:nvSpPr>
        <xdr:cNvPr id="47" name="TextBox 46">
          <a:extLst>
            <a:ext uri="{FF2B5EF4-FFF2-40B4-BE49-F238E27FC236}">
              <a16:creationId xmlns:a16="http://schemas.microsoft.com/office/drawing/2014/main" id="{A859C480-9B61-4D29-8EE4-3873D599F4DC}"/>
            </a:ext>
          </a:extLst>
        </xdr:cNvPr>
        <xdr:cNvSpPr txBox="1"/>
      </xdr:nvSpPr>
      <xdr:spPr>
        <a:xfrm>
          <a:off x="6865879" y="1664564"/>
          <a:ext cx="1276636" cy="3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C57BD6-4CAF-42F4-BE71-0139A0384B36}" type="TxLink">
            <a:rPr lang="en-US" sz="2400" b="0" i="0" u="none" strike="noStrike">
              <a:solidFill>
                <a:schemeClr val="bg1"/>
              </a:solidFill>
              <a:latin typeface="Aptos Narrow"/>
            </a:rPr>
            <a:pPr/>
            <a:t> 2,902 </a:t>
          </a:fld>
          <a:endParaRPr lang="en-IN" sz="2400">
            <a:solidFill>
              <a:schemeClr val="bg1"/>
            </a:solidFill>
          </a:endParaRPr>
        </a:p>
      </xdr:txBody>
    </xdr:sp>
    <xdr:clientData/>
  </xdr:twoCellAnchor>
  <xdr:twoCellAnchor>
    <xdr:from>
      <xdr:col>16</xdr:col>
      <xdr:colOff>430871</xdr:colOff>
      <xdr:row>8</xdr:row>
      <xdr:rowOff>159857</xdr:rowOff>
    </xdr:from>
    <xdr:to>
      <xdr:col>18</xdr:col>
      <xdr:colOff>493535</xdr:colOff>
      <xdr:row>10</xdr:row>
      <xdr:rowOff>178658</xdr:rowOff>
    </xdr:to>
    <xdr:sp macro="" textlink="Process!$AG$15">
      <xdr:nvSpPr>
        <xdr:cNvPr id="48" name="TextBox 47">
          <a:extLst>
            <a:ext uri="{FF2B5EF4-FFF2-40B4-BE49-F238E27FC236}">
              <a16:creationId xmlns:a16="http://schemas.microsoft.com/office/drawing/2014/main" id="{060DC4BC-3211-4BEC-B2D8-776568DF6D51}"/>
            </a:ext>
          </a:extLst>
        </xdr:cNvPr>
        <xdr:cNvSpPr txBox="1"/>
      </xdr:nvSpPr>
      <xdr:spPr>
        <a:xfrm>
          <a:off x="10142636" y="1653975"/>
          <a:ext cx="1276634" cy="3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B5D3B-F698-4D58-8528-FD3B9D24CE31}" type="TxLink">
            <a:rPr lang="en-US" sz="2400" b="0" i="0" u="none" strike="noStrike">
              <a:solidFill>
                <a:schemeClr val="bg1"/>
              </a:solidFill>
              <a:latin typeface="Aptos Narrow"/>
            </a:rPr>
            <a:pPr/>
            <a:t> 13,664 </a:t>
          </a:fld>
          <a:endParaRPr lang="en-IN" sz="2400">
            <a:solidFill>
              <a:schemeClr val="bg1"/>
            </a:solidFill>
          </a:endParaRPr>
        </a:p>
      </xdr:txBody>
    </xdr:sp>
    <xdr:clientData/>
  </xdr:twoCellAnchor>
  <xdr:twoCellAnchor>
    <xdr:from>
      <xdr:col>0</xdr:col>
      <xdr:colOff>500061</xdr:colOff>
      <xdr:row>0</xdr:row>
      <xdr:rowOff>0</xdr:rowOff>
    </xdr:from>
    <xdr:to>
      <xdr:col>12</xdr:col>
      <xdr:colOff>221115</xdr:colOff>
      <xdr:row>2</xdr:row>
      <xdr:rowOff>83343</xdr:rowOff>
    </xdr:to>
    <xdr:sp macro="" textlink="">
      <xdr:nvSpPr>
        <xdr:cNvPr id="13" name="TextBox 12">
          <a:extLst>
            <a:ext uri="{FF2B5EF4-FFF2-40B4-BE49-F238E27FC236}">
              <a16:creationId xmlns:a16="http://schemas.microsoft.com/office/drawing/2014/main" id="{5BF209CF-0C97-05CB-FC4B-FC04067AA7A6}"/>
            </a:ext>
          </a:extLst>
        </xdr:cNvPr>
        <xdr:cNvSpPr txBox="1"/>
      </xdr:nvSpPr>
      <xdr:spPr>
        <a:xfrm>
          <a:off x="500061" y="0"/>
          <a:ext cx="7068911" cy="45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Departmental Usage &amp; Performance </a:t>
          </a:r>
          <a:r>
            <a:rPr lang="en-IN" sz="2800">
              <a:solidFill>
                <a:schemeClr val="bg1"/>
              </a:solidFill>
            </a:rPr>
            <a:t>Dashboard</a:t>
          </a:r>
          <a:endParaRPr lang="en-IN" sz="2400">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0.36076</cdr:x>
      <cdr:y>0.43916</cdr:y>
    </cdr:from>
    <cdr:to>
      <cdr:x>0.7356</cdr:x>
      <cdr:y>0.78604</cdr:y>
    </cdr:to>
    <cdr:sp macro="" textlink="Process!$G$2">
      <cdr:nvSpPr>
        <cdr:cNvPr id="2" name="TextBox 1">
          <a:extLst xmlns:a="http://schemas.openxmlformats.org/drawingml/2006/main">
            <a:ext uri="{FF2B5EF4-FFF2-40B4-BE49-F238E27FC236}">
              <a16:creationId xmlns:a16="http://schemas.microsoft.com/office/drawing/2014/main" id="{06F072D7-4DAF-7FED-ECB1-D98664CB394C}"/>
            </a:ext>
          </a:extLst>
        </cdr:cNvPr>
        <cdr:cNvSpPr txBox="1"/>
      </cdr:nvSpPr>
      <cdr:spPr>
        <a:xfrm xmlns:a="http://schemas.openxmlformats.org/drawingml/2006/main">
          <a:off x="909782" y="1050580"/>
          <a:ext cx="945286" cy="829831"/>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CC21DF8C-5603-4767-BF14-4F50D53D84CB}" type="TxLink">
            <a:rPr lang="en-US" sz="2700" b="0" i="0" u="none" strike="noStrike">
              <a:solidFill>
                <a:srgbClr val="73B26E"/>
              </a:solidFill>
              <a:latin typeface="Aptos Narrow"/>
            </a:rPr>
            <a:pPr/>
            <a:t>53%</a:t>
          </a:fld>
          <a:endParaRPr lang="en-IN" sz="2700">
            <a:solidFill>
              <a:srgbClr val="73B26E"/>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0.39106</cdr:x>
      <cdr:y>0.00876</cdr:y>
    </cdr:from>
    <cdr:to>
      <cdr:x>0.48154</cdr:x>
      <cdr:y>0.1408</cdr:y>
    </cdr:to>
    <cdr:sp macro="" textlink="">
      <cdr:nvSpPr>
        <cdr:cNvPr id="2" name="TextBox 1">
          <a:extLst xmlns:a="http://schemas.openxmlformats.org/drawingml/2006/main">
            <a:ext uri="{FF2B5EF4-FFF2-40B4-BE49-F238E27FC236}">
              <a16:creationId xmlns:a16="http://schemas.microsoft.com/office/drawing/2014/main" id="{58A0EFF7-DFC1-3896-BBA8-2B32FD4AC6D4}"/>
            </a:ext>
          </a:extLst>
        </cdr:cNvPr>
        <cdr:cNvSpPr txBox="1"/>
      </cdr:nvSpPr>
      <cdr:spPr>
        <a:xfrm xmlns:a="http://schemas.openxmlformats.org/drawingml/2006/main">
          <a:off x="2322825" y="17410"/>
          <a:ext cx="537445" cy="262446"/>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100">
              <a:solidFill>
                <a:schemeClr val="bg1"/>
              </a:solidFill>
            </a:rPr>
            <a:t>Sales:</a:t>
          </a:r>
        </a:p>
      </cdr:txBody>
    </cdr:sp>
  </cdr:relSizeAnchor>
  <cdr:relSizeAnchor xmlns:cdr="http://schemas.openxmlformats.org/drawingml/2006/chartDrawing">
    <cdr:from>
      <cdr:x>0.45648</cdr:x>
      <cdr:y>0.013</cdr:y>
    </cdr:from>
    <cdr:to>
      <cdr:x>0.54697</cdr:x>
      <cdr:y>0.14504</cdr:y>
    </cdr:to>
    <cdr:sp macro="" textlink="Process!$N$31">
      <cdr:nvSpPr>
        <cdr:cNvPr id="3" name="TextBox 1">
          <a:extLst xmlns:a="http://schemas.openxmlformats.org/drawingml/2006/main">
            <a:ext uri="{FF2B5EF4-FFF2-40B4-BE49-F238E27FC236}">
              <a16:creationId xmlns:a16="http://schemas.microsoft.com/office/drawing/2014/main" id="{0D7B1EF2-47B6-3478-EB75-B3045733E66F}"/>
            </a:ext>
          </a:extLst>
        </cdr:cNvPr>
        <cdr:cNvSpPr txBox="1"/>
      </cdr:nvSpPr>
      <cdr:spPr>
        <a:xfrm xmlns:a="http://schemas.openxmlformats.org/drawingml/2006/main">
          <a:off x="2711432" y="25839"/>
          <a:ext cx="537444" cy="26244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94C541C9-FAC3-415B-9FCA-5462E8E9DFFA}" type="TxLink">
            <a:rPr lang="en-US" sz="1100" b="0" i="0" u="none" strike="noStrike">
              <a:solidFill>
                <a:schemeClr val="accent4">
                  <a:lumMod val="60000"/>
                  <a:lumOff val="40000"/>
                </a:schemeClr>
              </a:solidFill>
              <a:latin typeface="Aptos Narrow"/>
            </a:rPr>
            <a:pPr/>
            <a:t> 8,924 </a:t>
          </a:fld>
          <a:endParaRPr lang="en-IN" sz="1100">
            <a:solidFill>
              <a:schemeClr val="accent4">
                <a:lumMod val="60000"/>
                <a:lumOff val="40000"/>
              </a:schemeClr>
            </a:solidFill>
          </a:endParaRPr>
        </a:p>
      </cdr:txBody>
    </cdr:sp>
  </cdr:relSizeAnchor>
  <cdr:relSizeAnchor xmlns:cdr="http://schemas.openxmlformats.org/drawingml/2006/chartDrawing">
    <cdr:from>
      <cdr:x>0.5439</cdr:x>
      <cdr:y>0.00917</cdr:y>
    </cdr:from>
    <cdr:to>
      <cdr:x>0.63849</cdr:x>
      <cdr:y>0.12766</cdr:y>
    </cdr:to>
    <cdr:sp macro="" textlink="">
      <cdr:nvSpPr>
        <cdr:cNvPr id="4" name="TextBox 1">
          <a:extLst xmlns:a="http://schemas.openxmlformats.org/drawingml/2006/main">
            <a:ext uri="{FF2B5EF4-FFF2-40B4-BE49-F238E27FC236}">
              <a16:creationId xmlns:a16="http://schemas.microsoft.com/office/drawing/2014/main" id="{66C0521E-DCA2-C586-20D7-1BE4A4A1A965}"/>
            </a:ext>
          </a:extLst>
        </cdr:cNvPr>
        <cdr:cNvSpPr txBox="1"/>
      </cdr:nvSpPr>
      <cdr:spPr>
        <a:xfrm xmlns:a="http://schemas.openxmlformats.org/drawingml/2006/main">
          <a:off x="3230690" y="18223"/>
          <a:ext cx="561839" cy="235531"/>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a:solidFill>
                <a:schemeClr val="bg1"/>
              </a:solidFill>
            </a:rPr>
            <a:t>Costs:  </a:t>
          </a:r>
        </a:p>
      </cdr:txBody>
    </cdr:sp>
  </cdr:relSizeAnchor>
  <cdr:relSizeAnchor xmlns:cdr="http://schemas.openxmlformats.org/drawingml/2006/chartDrawing">
    <cdr:from>
      <cdr:x>0.61236</cdr:x>
      <cdr:y>0.00917</cdr:y>
    </cdr:from>
    <cdr:to>
      <cdr:x>0.70694</cdr:x>
      <cdr:y>0.12766</cdr:y>
    </cdr:to>
    <cdr:sp macro="" textlink="Process!$O$31">
      <cdr:nvSpPr>
        <cdr:cNvPr id="7" name="TextBox 1">
          <a:extLst xmlns:a="http://schemas.openxmlformats.org/drawingml/2006/main">
            <a:ext uri="{FF2B5EF4-FFF2-40B4-BE49-F238E27FC236}">
              <a16:creationId xmlns:a16="http://schemas.microsoft.com/office/drawing/2014/main" id="{C11D1809-B2E5-3588-79F4-406517E374C3}"/>
            </a:ext>
          </a:extLst>
        </cdr:cNvPr>
        <cdr:cNvSpPr txBox="1"/>
      </cdr:nvSpPr>
      <cdr:spPr>
        <a:xfrm xmlns:a="http://schemas.openxmlformats.org/drawingml/2006/main">
          <a:off x="3606782" y="18502"/>
          <a:ext cx="557128" cy="239138"/>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86290642-980E-4703-93B0-B39B00223C0D}" type="TxLink">
            <a:rPr lang="en-US" sz="1100" b="0" i="0" u="none" strike="noStrike">
              <a:solidFill>
                <a:schemeClr val="accent4">
                  <a:lumMod val="60000"/>
                  <a:lumOff val="40000"/>
                </a:schemeClr>
              </a:solidFill>
              <a:latin typeface="Aptos Narrow"/>
            </a:rPr>
            <a:pPr/>
            <a:t> 2,902 </a:t>
          </a:fld>
          <a:endParaRPr lang="en-IN" sz="1100">
            <a:solidFill>
              <a:schemeClr val="accent4">
                <a:lumMod val="60000"/>
                <a:lumOff val="4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0.59372</cdr:x>
      <cdr:y>0.032</cdr:y>
    </cdr:from>
    <cdr:to>
      <cdr:x>0.6951</cdr:x>
      <cdr:y>0.14007</cdr:y>
    </cdr:to>
    <cdr:sp macro="" textlink="Process!$AG$15">
      <cdr:nvSpPr>
        <cdr:cNvPr id="2" name="TextBox 1">
          <a:extLst xmlns:a="http://schemas.openxmlformats.org/drawingml/2006/main">
            <a:ext uri="{FF2B5EF4-FFF2-40B4-BE49-F238E27FC236}">
              <a16:creationId xmlns:a16="http://schemas.microsoft.com/office/drawing/2014/main" id="{05437F40-6E01-027D-776A-1EC21FC51BEC}"/>
            </a:ext>
          </a:extLst>
        </cdr:cNvPr>
        <cdr:cNvSpPr txBox="1"/>
      </cdr:nvSpPr>
      <cdr:spPr>
        <a:xfrm xmlns:a="http://schemas.openxmlformats.org/drawingml/2006/main">
          <a:off x="3576984" y="69402"/>
          <a:ext cx="610779" cy="2343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B853846-C7EA-4207-B0E8-8242C341F49E}" type="TxLink">
            <a:rPr lang="en-US" sz="1200" b="0" i="0" u="none" strike="noStrike">
              <a:solidFill>
                <a:schemeClr val="bg1"/>
              </a:solidFill>
              <a:latin typeface="Aptos Narrow"/>
            </a:rPr>
            <a:pPr/>
            <a:t> 13,664 </a:t>
          </a:fld>
          <a:endParaRPr lang="en-IN" sz="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ni" refreshedDate="45974.507123726849" createdVersion="8" refreshedVersion="8" minRefreshableVersion="3" recordCount="192" xr:uid="{74F3AC24-7B6D-41FC-920C-BDCAD2FA6E9A}">
  <cacheSource type="worksheet">
    <worksheetSource ref="A1:AE193" sheet="Dataset"/>
  </cacheSource>
  <cacheFields count="31">
    <cacheField name="Year" numFmtId="0">
      <sharedItems containsSemiMixedTypes="0" containsString="0" containsNumber="1" containsInteger="1" minValue="2022" maxValue="2025" count="4">
        <n v="2025"/>
        <n v="2024"/>
        <n v="2023"/>
        <n v="2022"/>
      </sharedItems>
    </cacheField>
    <cacheField name="Month" numFmtId="0">
      <sharedItems containsSemiMixedTypes="0" containsString="0" containsNumber="1" containsInteger="1" minValue="1" maxValue="12" count="12">
        <n v="1"/>
        <n v="2"/>
        <n v="3"/>
        <n v="4"/>
        <n v="5"/>
        <n v="6"/>
        <n v="7"/>
        <n v="8"/>
        <n v="9"/>
        <n v="10"/>
        <n v="11"/>
        <n v="12"/>
      </sharedItems>
    </cacheField>
    <cacheField name="Name Month" numFmtId="0">
      <sharedItems count="12">
        <s v="JAN"/>
        <s v="FEB"/>
        <s v="MAR"/>
        <s v="APR"/>
        <s v="MAY"/>
        <s v="JUN"/>
        <s v="JUL"/>
        <s v="AUG"/>
        <s v="SEP"/>
        <s v="OCT"/>
        <s v="NOV"/>
        <s v="DEC"/>
      </sharedItems>
    </cacheField>
    <cacheField name="Departments" numFmtId="0">
      <sharedItems count="4">
        <s v="Northern District"/>
        <s v="Eastern District"/>
        <s v="Southern District"/>
        <s v="Western District"/>
      </sharedItems>
    </cacheField>
    <cacheField name="Influx of New Clients" numFmtId="0">
      <sharedItems containsSemiMixedTypes="0" containsString="0" containsNumber="1" containsInteger="1" minValue="18" maxValue="126"/>
    </cacheField>
    <cacheField name="Regular Clients" numFmtId="9">
      <sharedItems containsSemiMixedTypes="0" containsString="0" containsNumber="1" minValue="0.2" maxValue="0.8"/>
    </cacheField>
    <cacheField name="Sales" numFmtId="0">
      <sharedItems containsMixedTypes="1" containsNumber="1" containsInteger="1" minValue="23" maxValue="155"/>
    </cacheField>
    <cacheField name="Costs" numFmtId="0">
      <sharedItems containsMixedTypes="1" containsNumber="1" containsInteger="1" minValue="8" maxValue="55"/>
    </cacheField>
    <cacheField name="Bathroom-I" numFmtId="0">
      <sharedItems containsSemiMixedTypes="0" containsString="0" containsNumber="1" containsInteger="1" minValue="28" maxValue="140"/>
    </cacheField>
    <cacheField name="Bedroom-I" numFmtId="0">
      <sharedItems containsSemiMixedTypes="0" containsString="0" containsNumber="1" containsInteger="1" minValue="27" maxValue="146"/>
    </cacheField>
    <cacheField name="Kitchen-I" numFmtId="0">
      <sharedItems containsSemiMixedTypes="0" containsString="0" containsNumber="1" containsInteger="1" minValue="25" maxValue="149"/>
    </cacheField>
    <cacheField name="Living-I" numFmtId="0">
      <sharedItems containsSemiMixedTypes="0" containsString="0" containsNumber="1" containsInteger="1" minValue="26" maxValue="145"/>
    </cacheField>
    <cacheField name="Garden-I" numFmtId="0">
      <sharedItems containsSemiMixedTypes="0" containsString="0" containsNumber="1" containsInteger="1" minValue="26" maxValue="150"/>
    </cacheField>
    <cacheField name="Decor-I" numFmtId="0">
      <sharedItems containsSemiMixedTypes="0" containsString="0" containsNumber="1" containsInteger="1" minValue="27" maxValue="148"/>
    </cacheField>
    <cacheField name="Bathroom-S" numFmtId="0">
      <sharedItems containsSemiMixedTypes="0" containsString="0" containsNumber="1" containsInteger="1" minValue="35" maxValue="150"/>
    </cacheField>
    <cacheField name="Bedroom-S" numFmtId="0">
      <sharedItems containsSemiMixedTypes="0" containsString="0" containsNumber="1" containsInteger="1" minValue="25" maxValue="142"/>
    </cacheField>
    <cacheField name="Kitchen-S" numFmtId="0">
      <sharedItems containsSemiMixedTypes="0" containsString="0" containsNumber="1" containsInteger="1" minValue="32" maxValue="150"/>
    </cacheField>
    <cacheField name="Living-S" numFmtId="0">
      <sharedItems containsSemiMixedTypes="0" containsString="0" containsNumber="1" containsInteger="1" minValue="28" maxValue="146"/>
    </cacheField>
    <cacheField name="Garden-S" numFmtId="0">
      <sharedItems containsSemiMixedTypes="0" containsString="0" containsNumber="1" containsInteger="1" minValue="26" maxValue="145"/>
    </cacheField>
    <cacheField name="Decor-S" numFmtId="0">
      <sharedItems containsSemiMixedTypes="0" containsString="0" containsNumber="1" containsInteger="1" minValue="25" maxValue="145"/>
    </cacheField>
    <cacheField name="Average Check" numFmtId="0">
      <sharedItems containsSemiMixedTypes="0" containsString="0" containsNumber="1" containsInteger="1" minValue="14" maxValue="167"/>
    </cacheField>
    <cacheField name="Product 1" numFmtId="0">
      <sharedItems containsSemiMixedTypes="0" containsString="0" containsNumber="1" containsInteger="1" minValue="1" maxValue="672"/>
    </cacheField>
    <cacheField name="Product 2" numFmtId="0">
      <sharedItems containsSemiMixedTypes="0" containsString="0" containsNumber="1" containsInteger="1" minValue="3" maxValue="897"/>
    </cacheField>
    <cacheField name="Product 3" numFmtId="0">
      <sharedItems containsSemiMixedTypes="0" containsString="0" containsNumber="1" containsInteger="1" minValue="7" maxValue="950"/>
    </cacheField>
    <cacheField name="Product 4" numFmtId="0">
      <sharedItems containsSemiMixedTypes="0" containsString="0" containsNumber="1" containsInteger="1" minValue="8" maxValue="612"/>
    </cacheField>
    <cacheField name="Product 5" numFmtId="0">
      <sharedItems containsSemiMixedTypes="0" containsString="0" containsNumber="1" containsInteger="1" minValue="5" maxValue="680"/>
    </cacheField>
    <cacheField name="Product 6" numFmtId="0">
      <sharedItems containsSemiMixedTypes="0" containsString="0" containsNumber="1" containsInteger="1" minValue="5" maxValue="732"/>
    </cacheField>
    <cacheField name="Product 7" numFmtId="0">
      <sharedItems containsSemiMixedTypes="0" containsString="0" containsNumber="1" containsInteger="1" minValue="2" maxValue="752"/>
    </cacheField>
    <cacheField name="Product 8" numFmtId="0">
      <sharedItems containsSemiMixedTypes="0" containsString="0" containsNumber="1" containsInteger="1" minValue="5" maxValue="817"/>
    </cacheField>
    <cacheField name="Product 9" numFmtId="0">
      <sharedItems containsSemiMixedTypes="0" containsString="0" containsNumber="1" containsInteger="1" minValue="9" maxValue="947"/>
    </cacheField>
    <cacheField name="Product 10" numFmtId="0">
      <sharedItems containsSemiMixedTypes="0" containsString="0" containsNumber="1" containsInteger="1" minValue="5" maxValue="660"/>
    </cacheField>
  </cacheFields>
  <extLst>
    <ext xmlns:x14="http://schemas.microsoft.com/office/spreadsheetml/2009/9/main" uri="{725AE2AE-9491-48be-B2B4-4EB974FC3084}">
      <x14:pivotCacheDefinition pivotCacheId="1886971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x v="0"/>
    <n v="77"/>
    <n v="0.57999999999999996"/>
    <s v="96,25"/>
    <s v="27,25"/>
    <n v="59"/>
    <n v="107"/>
    <n v="53"/>
    <n v="92"/>
    <n v="79"/>
    <n v="59"/>
    <n v="130"/>
    <n v="116"/>
    <n v="65"/>
    <n v="104"/>
    <n v="32"/>
    <n v="77"/>
    <n v="25"/>
    <n v="441"/>
    <n v="77"/>
    <n v="357"/>
    <n v="183"/>
    <n v="97"/>
    <n v="10"/>
    <n v="422"/>
    <n v="29"/>
    <n v="71"/>
    <n v="40"/>
  </r>
  <r>
    <x v="0"/>
    <x v="0"/>
    <x v="0"/>
    <x v="1"/>
    <n v="54"/>
    <n v="0.41"/>
    <s v="67,5"/>
    <s v="25,15"/>
    <n v="70"/>
    <n v="108"/>
    <n v="96"/>
    <n v="132"/>
    <n v="66"/>
    <n v="83"/>
    <n v="78"/>
    <n v="96"/>
    <n v="60"/>
    <n v="94"/>
    <n v="63"/>
    <n v="92"/>
    <n v="26"/>
    <n v="281"/>
    <n v="354"/>
    <n v="695"/>
    <n v="8"/>
    <n v="18"/>
    <n v="61"/>
    <n v="316"/>
    <n v="353"/>
    <n v="44"/>
    <n v="65"/>
  </r>
  <r>
    <x v="0"/>
    <x v="0"/>
    <x v="0"/>
    <x v="2"/>
    <n v="104"/>
    <n v="0.56999999999999995"/>
    <n v="130"/>
    <s v="17,3"/>
    <n v="78"/>
    <n v="102"/>
    <n v="41"/>
    <n v="116"/>
    <n v="49"/>
    <n v="103"/>
    <n v="100"/>
    <n v="114"/>
    <n v="138"/>
    <n v="104"/>
    <n v="33"/>
    <n v="94"/>
    <n v="19"/>
    <n v="345"/>
    <n v="159"/>
    <n v="375"/>
    <n v="162"/>
    <n v="139"/>
    <n v="93"/>
    <n v="136"/>
    <n v="220"/>
    <n v="82"/>
    <n v="172"/>
  </r>
  <r>
    <x v="0"/>
    <x v="0"/>
    <x v="0"/>
    <x v="3"/>
    <n v="45"/>
    <n v="0.75"/>
    <s v="56,25"/>
    <n v="31"/>
    <n v="57"/>
    <n v="51"/>
    <n v="84"/>
    <n v="139"/>
    <n v="68"/>
    <n v="91"/>
    <n v="73"/>
    <n v="116"/>
    <n v="50"/>
    <n v="61"/>
    <n v="66"/>
    <n v="34"/>
    <n v="30"/>
    <n v="415"/>
    <n v="151"/>
    <n v="677"/>
    <n v="108"/>
    <n v="104"/>
    <n v="107"/>
    <n v="656"/>
    <n v="28"/>
    <n v="104"/>
    <n v="75"/>
  </r>
  <r>
    <x v="0"/>
    <x v="1"/>
    <x v="1"/>
    <x v="0"/>
    <n v="64"/>
    <n v="0.52"/>
    <n v="80"/>
    <s v="40,95"/>
    <n v="49"/>
    <n v="38"/>
    <n v="87"/>
    <n v="145"/>
    <n v="50"/>
    <n v="77"/>
    <n v="129"/>
    <n v="114"/>
    <n v="114"/>
    <n v="104"/>
    <n v="30"/>
    <n v="89"/>
    <n v="24"/>
    <n v="380"/>
    <n v="44"/>
    <n v="517"/>
    <n v="79"/>
    <n v="98"/>
    <n v="159"/>
    <n v="174"/>
    <n v="142"/>
    <n v="344"/>
    <n v="15"/>
  </r>
  <r>
    <x v="0"/>
    <x v="1"/>
    <x v="1"/>
    <x v="1"/>
    <n v="22"/>
    <n v="0.37"/>
    <s v="27,5"/>
    <s v="58,8"/>
    <n v="82"/>
    <n v="53"/>
    <n v="80"/>
    <n v="58"/>
    <n v="60"/>
    <n v="110"/>
    <n v="50"/>
    <n v="123"/>
    <n v="70"/>
    <n v="82"/>
    <n v="54"/>
    <n v="70"/>
    <n v="65"/>
    <n v="86"/>
    <n v="99"/>
    <n v="557"/>
    <n v="253"/>
    <n v="126"/>
    <n v="120"/>
    <n v="290"/>
    <n v="159"/>
    <n v="267"/>
    <n v="44"/>
  </r>
  <r>
    <x v="0"/>
    <x v="1"/>
    <x v="1"/>
    <x v="2"/>
    <n v="67"/>
    <n v="0.8"/>
    <s v="83,75"/>
    <s v="35,7"/>
    <n v="31"/>
    <n v="57"/>
    <n v="75"/>
    <n v="145"/>
    <n v="52"/>
    <n v="119"/>
    <n v="56"/>
    <n v="114"/>
    <n v="63"/>
    <n v="77"/>
    <n v="32"/>
    <n v="78"/>
    <n v="51"/>
    <n v="33"/>
    <n v="358"/>
    <n v="37"/>
    <n v="321"/>
    <n v="273"/>
    <n v="131"/>
    <n v="416"/>
    <n v="18"/>
    <n v="170"/>
    <n v="48"/>
  </r>
  <r>
    <x v="0"/>
    <x v="1"/>
    <x v="1"/>
    <x v="3"/>
    <n v="27"/>
    <n v="0.46"/>
    <s v="33,75"/>
    <s v="14,7"/>
    <n v="68"/>
    <n v="50"/>
    <n v="64"/>
    <n v="144"/>
    <n v="78"/>
    <n v="104"/>
    <n v="88"/>
    <n v="86"/>
    <n v="53"/>
    <n v="46"/>
    <n v="55"/>
    <n v="90"/>
    <n v="40"/>
    <n v="322"/>
    <n v="32"/>
    <n v="950"/>
    <n v="111"/>
    <n v="126"/>
    <n v="58"/>
    <n v="586"/>
    <n v="50"/>
    <n v="54"/>
    <n v="179"/>
  </r>
  <r>
    <x v="0"/>
    <x v="2"/>
    <x v="2"/>
    <x v="0"/>
    <n v="22"/>
    <n v="0.31"/>
    <s v="27,5"/>
    <s v="24,15"/>
    <n v="47"/>
    <n v="110"/>
    <n v="53"/>
    <n v="113"/>
    <n v="55"/>
    <n v="78"/>
    <n v="135"/>
    <n v="115"/>
    <n v="58"/>
    <n v="99"/>
    <n v="55"/>
    <n v="87"/>
    <n v="51"/>
    <n v="39"/>
    <n v="164"/>
    <n v="505"/>
    <n v="41"/>
    <n v="196"/>
    <n v="81"/>
    <n v="542"/>
    <n v="56"/>
    <n v="164"/>
    <n v="119"/>
  </r>
  <r>
    <x v="0"/>
    <x v="2"/>
    <x v="2"/>
    <x v="1"/>
    <n v="58"/>
    <n v="0.48"/>
    <s v="72,5"/>
    <s v="39,9"/>
    <n v="31"/>
    <n v="71"/>
    <n v="103"/>
    <n v="103"/>
    <n v="109"/>
    <n v="128"/>
    <n v="115"/>
    <n v="106"/>
    <n v="99"/>
    <n v="87"/>
    <n v="63"/>
    <n v="41"/>
    <n v="33"/>
    <n v="33"/>
    <n v="160"/>
    <n v="45"/>
    <n v="136"/>
    <n v="313"/>
    <n v="37"/>
    <n v="146"/>
    <n v="46"/>
    <n v="292"/>
    <n v="16"/>
  </r>
  <r>
    <x v="0"/>
    <x v="2"/>
    <x v="2"/>
    <x v="2"/>
    <n v="46"/>
    <n v="0.77"/>
    <s v="57,5"/>
    <s v="18,9"/>
    <n v="71"/>
    <n v="113"/>
    <n v="44"/>
    <n v="68"/>
    <n v="96"/>
    <n v="97"/>
    <n v="47"/>
    <n v="77"/>
    <n v="113"/>
    <n v="48"/>
    <n v="67"/>
    <n v="55"/>
    <n v="54"/>
    <n v="53"/>
    <n v="8"/>
    <n v="97"/>
    <n v="160"/>
    <n v="166"/>
    <n v="76"/>
    <n v="80"/>
    <n v="324"/>
    <n v="152"/>
    <n v="38"/>
  </r>
  <r>
    <x v="0"/>
    <x v="2"/>
    <x v="2"/>
    <x v="3"/>
    <n v="50"/>
    <n v="0.4"/>
    <s v="62,5"/>
    <s v="43,05"/>
    <n v="32"/>
    <n v="55"/>
    <n v="61"/>
    <n v="108"/>
    <n v="67"/>
    <n v="72"/>
    <n v="131"/>
    <n v="75"/>
    <n v="55"/>
    <n v="49"/>
    <n v="67"/>
    <n v="37"/>
    <n v="22"/>
    <n v="314"/>
    <n v="46"/>
    <n v="72"/>
    <n v="80"/>
    <n v="78"/>
    <n v="259"/>
    <n v="514"/>
    <n v="199"/>
    <n v="21"/>
    <n v="6"/>
  </r>
  <r>
    <x v="0"/>
    <x v="3"/>
    <x v="3"/>
    <x v="0"/>
    <n v="78"/>
    <n v="0.78"/>
    <s v="97,5"/>
    <s v="33,6"/>
    <n v="73"/>
    <n v="90"/>
    <n v="95"/>
    <n v="124"/>
    <n v="77"/>
    <n v="44"/>
    <n v="83"/>
    <n v="103"/>
    <n v="64"/>
    <n v="48"/>
    <n v="53"/>
    <n v="67"/>
    <n v="57"/>
    <n v="88"/>
    <n v="51"/>
    <n v="65"/>
    <n v="63"/>
    <n v="132"/>
    <n v="96"/>
    <n v="310"/>
    <n v="69"/>
    <n v="227"/>
    <n v="187"/>
  </r>
  <r>
    <x v="0"/>
    <x v="3"/>
    <x v="3"/>
    <x v="1"/>
    <n v="64"/>
    <n v="0.43"/>
    <n v="80"/>
    <s v="22,05"/>
    <n v="73"/>
    <n v="56"/>
    <n v="40"/>
    <n v="105"/>
    <n v="60"/>
    <n v="59"/>
    <n v="101"/>
    <n v="127"/>
    <n v="150"/>
    <n v="89"/>
    <n v="70"/>
    <n v="59"/>
    <n v="63"/>
    <n v="235"/>
    <n v="105"/>
    <n v="690"/>
    <n v="45"/>
    <n v="336"/>
    <n v="176"/>
    <n v="312"/>
    <n v="56"/>
    <n v="35"/>
    <n v="141"/>
  </r>
  <r>
    <x v="0"/>
    <x v="3"/>
    <x v="3"/>
    <x v="2"/>
    <n v="48"/>
    <n v="0.34"/>
    <n v="60"/>
    <s v="55,65"/>
    <n v="76"/>
    <n v="97"/>
    <n v="100"/>
    <n v="74"/>
    <n v="88"/>
    <n v="93"/>
    <n v="76"/>
    <n v="124"/>
    <n v="91"/>
    <n v="90"/>
    <n v="38"/>
    <n v="43"/>
    <n v="18"/>
    <n v="130"/>
    <n v="46"/>
    <n v="395"/>
    <n v="188"/>
    <n v="126"/>
    <n v="69"/>
    <n v="30"/>
    <n v="93"/>
    <n v="86"/>
    <n v="186"/>
  </r>
  <r>
    <x v="0"/>
    <x v="3"/>
    <x v="3"/>
    <x v="3"/>
    <n v="70"/>
    <n v="0.36"/>
    <s v="87,5"/>
    <s v="51,45"/>
    <n v="47"/>
    <n v="107"/>
    <n v="62"/>
    <n v="85"/>
    <n v="46"/>
    <n v="47"/>
    <n v="68"/>
    <n v="116"/>
    <n v="52"/>
    <n v="58"/>
    <n v="65"/>
    <n v="58"/>
    <n v="102"/>
    <n v="87"/>
    <n v="63"/>
    <n v="485"/>
    <n v="109"/>
    <n v="56"/>
    <n v="83"/>
    <n v="676"/>
    <n v="63"/>
    <n v="206"/>
    <n v="79"/>
  </r>
  <r>
    <x v="0"/>
    <x v="4"/>
    <x v="4"/>
    <x v="0"/>
    <n v="33"/>
    <n v="0.66"/>
    <s v="41,25"/>
    <s v="25,2"/>
    <n v="43"/>
    <n v="77"/>
    <n v="96"/>
    <n v="104"/>
    <n v="59"/>
    <n v="99"/>
    <n v="129"/>
    <n v="88"/>
    <n v="60"/>
    <n v="86"/>
    <n v="37"/>
    <n v="95"/>
    <n v="92"/>
    <n v="85"/>
    <n v="122"/>
    <n v="285"/>
    <n v="115"/>
    <n v="397"/>
    <n v="100"/>
    <n v="46"/>
    <n v="34"/>
    <n v="243"/>
    <n v="54"/>
  </r>
  <r>
    <x v="0"/>
    <x v="4"/>
    <x v="4"/>
    <x v="1"/>
    <n v="48"/>
    <n v="0.51"/>
    <n v="60"/>
    <s v="39,9"/>
    <n v="81"/>
    <n v="62"/>
    <n v="60"/>
    <n v="50"/>
    <n v="90"/>
    <n v="64"/>
    <n v="83"/>
    <n v="80"/>
    <n v="104"/>
    <n v="86"/>
    <n v="29"/>
    <n v="66"/>
    <n v="31"/>
    <n v="50"/>
    <n v="360"/>
    <n v="102"/>
    <n v="339"/>
    <n v="186"/>
    <n v="27"/>
    <n v="100"/>
    <n v="16"/>
    <n v="40"/>
    <n v="19"/>
  </r>
  <r>
    <x v="0"/>
    <x v="4"/>
    <x v="4"/>
    <x v="2"/>
    <n v="66"/>
    <n v="0.52"/>
    <s v="82,5"/>
    <s v="46,2"/>
    <n v="72"/>
    <n v="85"/>
    <n v="99"/>
    <n v="78"/>
    <n v="92"/>
    <n v="63"/>
    <n v="54"/>
    <n v="89"/>
    <n v="70"/>
    <n v="101"/>
    <n v="54"/>
    <n v="81"/>
    <n v="21"/>
    <n v="189"/>
    <n v="324"/>
    <n v="512"/>
    <n v="44"/>
    <n v="139"/>
    <n v="143"/>
    <n v="86"/>
    <n v="56"/>
    <n v="149"/>
    <n v="53"/>
  </r>
  <r>
    <x v="0"/>
    <x v="4"/>
    <x v="4"/>
    <x v="3"/>
    <n v="45"/>
    <n v="0.7"/>
    <s v="56,25"/>
    <s v="49,35"/>
    <n v="64"/>
    <n v="40"/>
    <n v="88"/>
    <n v="120"/>
    <n v="112"/>
    <n v="47"/>
    <n v="55"/>
    <n v="45"/>
    <n v="53"/>
    <n v="86"/>
    <n v="41"/>
    <n v="45"/>
    <n v="76"/>
    <n v="374"/>
    <n v="96"/>
    <n v="220"/>
    <n v="198"/>
    <n v="219"/>
    <n v="130"/>
    <n v="432"/>
    <n v="83"/>
    <n v="130"/>
    <n v="120"/>
  </r>
  <r>
    <x v="0"/>
    <x v="5"/>
    <x v="5"/>
    <x v="0"/>
    <n v="86"/>
    <n v="0.52"/>
    <s v="107,5"/>
    <s v="24,15"/>
    <n v="28"/>
    <n v="50"/>
    <n v="105"/>
    <n v="117"/>
    <n v="108"/>
    <n v="44"/>
    <n v="76"/>
    <n v="87"/>
    <n v="53"/>
    <n v="97"/>
    <n v="39"/>
    <n v="67"/>
    <n v="106"/>
    <n v="28"/>
    <n v="147"/>
    <n v="265"/>
    <n v="59"/>
    <n v="54"/>
    <n v="98"/>
    <n v="212"/>
    <n v="35"/>
    <n v="39"/>
    <n v="23"/>
  </r>
  <r>
    <x v="0"/>
    <x v="5"/>
    <x v="5"/>
    <x v="1"/>
    <n v="74"/>
    <n v="0.51"/>
    <s v="92,5"/>
    <s v="51,45"/>
    <n v="79"/>
    <n v="51"/>
    <n v="88"/>
    <n v="104"/>
    <n v="78"/>
    <n v="105"/>
    <n v="128"/>
    <n v="54"/>
    <n v="95"/>
    <n v="72"/>
    <n v="46"/>
    <n v="71"/>
    <n v="117"/>
    <n v="85"/>
    <n v="106"/>
    <n v="72"/>
    <n v="136"/>
    <n v="393"/>
    <n v="23"/>
    <n v="352"/>
    <n v="38"/>
    <n v="157"/>
    <n v="83"/>
  </r>
  <r>
    <x v="0"/>
    <x v="5"/>
    <x v="5"/>
    <x v="2"/>
    <n v="46"/>
    <n v="0.37"/>
    <s v="57,5"/>
    <s v="12,6"/>
    <n v="60"/>
    <n v="103"/>
    <n v="72"/>
    <n v="60"/>
    <n v="61"/>
    <n v="50"/>
    <n v="71"/>
    <n v="114"/>
    <n v="88"/>
    <n v="86"/>
    <n v="30"/>
    <n v="38"/>
    <n v="27"/>
    <n v="312"/>
    <n v="89"/>
    <n v="470"/>
    <n v="132"/>
    <n v="308"/>
    <n v="40"/>
    <n v="386"/>
    <n v="242"/>
    <n v="64"/>
    <n v="25"/>
  </r>
  <r>
    <x v="0"/>
    <x v="5"/>
    <x v="5"/>
    <x v="3"/>
    <n v="30"/>
    <n v="0.57999999999999996"/>
    <s v="37,5"/>
    <s v="12,6"/>
    <n v="70"/>
    <n v="39"/>
    <n v="40"/>
    <n v="140"/>
    <n v="49"/>
    <n v="47"/>
    <n v="115"/>
    <n v="50"/>
    <n v="55"/>
    <n v="39"/>
    <n v="26"/>
    <n v="97"/>
    <n v="70"/>
    <n v="354"/>
    <n v="222"/>
    <n v="562"/>
    <n v="337"/>
    <n v="101"/>
    <n v="35"/>
    <n v="194"/>
    <n v="21"/>
    <n v="119"/>
    <n v="8"/>
  </r>
  <r>
    <x v="0"/>
    <x v="6"/>
    <x v="6"/>
    <x v="0"/>
    <n v="102"/>
    <n v="0.76"/>
    <s v="127,5"/>
    <s v="28,35"/>
    <n v="39"/>
    <n v="79"/>
    <n v="71"/>
    <n v="131"/>
    <n v="101"/>
    <n v="128"/>
    <n v="46"/>
    <n v="101"/>
    <n v="75"/>
    <n v="87"/>
    <n v="41"/>
    <n v="73"/>
    <n v="120"/>
    <n v="206"/>
    <n v="144"/>
    <n v="195"/>
    <n v="39"/>
    <n v="76"/>
    <n v="57"/>
    <n v="188"/>
    <n v="364"/>
    <n v="21"/>
    <n v="118"/>
  </r>
  <r>
    <x v="0"/>
    <x v="6"/>
    <x v="6"/>
    <x v="1"/>
    <n v="84"/>
    <n v="0.6"/>
    <n v="105"/>
    <s v="44,1"/>
    <n v="66"/>
    <n v="75"/>
    <n v="88"/>
    <n v="77"/>
    <n v="100"/>
    <n v="97"/>
    <n v="79"/>
    <n v="91"/>
    <n v="124"/>
    <n v="94"/>
    <n v="49"/>
    <n v="73"/>
    <n v="25"/>
    <n v="202"/>
    <n v="76"/>
    <n v="395"/>
    <n v="10"/>
    <n v="53"/>
    <n v="119"/>
    <n v="240"/>
    <n v="282"/>
    <n v="116"/>
    <n v="68"/>
  </r>
  <r>
    <x v="0"/>
    <x v="6"/>
    <x v="6"/>
    <x v="2"/>
    <n v="54"/>
    <n v="0.44"/>
    <s v="67,5"/>
    <s v="56,7"/>
    <n v="37"/>
    <n v="86"/>
    <n v="101"/>
    <n v="113"/>
    <n v="55"/>
    <n v="92"/>
    <n v="134"/>
    <n v="74"/>
    <n v="133"/>
    <n v="74"/>
    <n v="68"/>
    <n v="96"/>
    <n v="125"/>
    <n v="319"/>
    <n v="80"/>
    <n v="172"/>
    <n v="108"/>
    <n v="122"/>
    <n v="86"/>
    <n v="152"/>
    <n v="25"/>
    <n v="220"/>
    <n v="165"/>
  </r>
  <r>
    <x v="0"/>
    <x v="6"/>
    <x v="6"/>
    <x v="3"/>
    <n v="100"/>
    <n v="0.79"/>
    <n v="125"/>
    <n v="42"/>
    <n v="61"/>
    <n v="112"/>
    <n v="94"/>
    <n v="104"/>
    <n v="52"/>
    <n v="122"/>
    <n v="112"/>
    <n v="62"/>
    <n v="148"/>
    <n v="51"/>
    <n v="35"/>
    <n v="69"/>
    <n v="110"/>
    <n v="182"/>
    <n v="315"/>
    <n v="17"/>
    <n v="15"/>
    <n v="214"/>
    <n v="75"/>
    <n v="752"/>
    <n v="84"/>
    <n v="158"/>
    <n v="182"/>
  </r>
  <r>
    <x v="0"/>
    <x v="7"/>
    <x v="7"/>
    <x v="0"/>
    <n v="90"/>
    <n v="0.55000000000000004"/>
    <s v="112,5"/>
    <s v="55,65"/>
    <n v="80"/>
    <n v="89"/>
    <n v="44"/>
    <n v="113"/>
    <n v="44"/>
    <n v="45"/>
    <n v="134"/>
    <n v="110"/>
    <n v="126"/>
    <n v="52"/>
    <n v="46"/>
    <n v="88"/>
    <n v="38"/>
    <n v="232"/>
    <n v="40"/>
    <n v="192"/>
    <n v="30"/>
    <n v="241"/>
    <n v="263"/>
    <n v="452"/>
    <n v="95"/>
    <n v="62"/>
    <n v="53"/>
  </r>
  <r>
    <x v="0"/>
    <x v="7"/>
    <x v="7"/>
    <x v="1"/>
    <n v="98"/>
    <n v="0.34"/>
    <s v="122,5"/>
    <s v="43,05"/>
    <n v="58"/>
    <n v="65"/>
    <n v="53"/>
    <n v="134"/>
    <n v="93"/>
    <n v="125"/>
    <n v="125"/>
    <n v="63"/>
    <n v="142"/>
    <n v="53"/>
    <n v="56"/>
    <n v="91"/>
    <n v="68"/>
    <n v="85"/>
    <n v="138"/>
    <n v="110"/>
    <n v="39"/>
    <n v="140"/>
    <n v="135"/>
    <n v="594"/>
    <n v="76"/>
    <n v="164"/>
    <n v="31"/>
  </r>
  <r>
    <x v="0"/>
    <x v="7"/>
    <x v="7"/>
    <x v="2"/>
    <n v="89"/>
    <n v="0.3"/>
    <s v="111,25"/>
    <s v="33,6"/>
    <n v="50"/>
    <n v="97"/>
    <n v="97"/>
    <n v="110"/>
    <n v="102"/>
    <n v="122"/>
    <n v="115"/>
    <n v="123"/>
    <n v="87"/>
    <n v="50"/>
    <n v="58"/>
    <n v="94"/>
    <n v="112"/>
    <n v="104"/>
    <n v="116"/>
    <n v="730"/>
    <n v="334"/>
    <n v="44"/>
    <n v="86"/>
    <n v="124"/>
    <n v="162"/>
    <n v="184"/>
    <n v="23"/>
  </r>
  <r>
    <x v="0"/>
    <x v="7"/>
    <x v="7"/>
    <x v="3"/>
    <n v="75"/>
    <n v="0.71"/>
    <s v="93,75"/>
    <s v="32,55"/>
    <n v="47"/>
    <n v="63"/>
    <n v="80"/>
    <n v="121"/>
    <n v="60"/>
    <n v="124"/>
    <n v="98"/>
    <n v="85"/>
    <n v="79"/>
    <n v="38"/>
    <n v="50"/>
    <n v="94"/>
    <n v="102"/>
    <n v="39"/>
    <n v="205"/>
    <n v="197"/>
    <n v="49"/>
    <n v="150"/>
    <n v="276"/>
    <n v="422"/>
    <n v="56"/>
    <n v="205"/>
    <n v="9"/>
  </r>
  <r>
    <x v="0"/>
    <x v="8"/>
    <x v="8"/>
    <x v="0"/>
    <n v="72"/>
    <n v="0.43"/>
    <n v="90"/>
    <s v="29,4"/>
    <n v="78"/>
    <n v="85"/>
    <n v="78"/>
    <n v="83"/>
    <n v="54"/>
    <n v="86"/>
    <n v="60"/>
    <n v="62"/>
    <n v="57"/>
    <n v="71"/>
    <n v="64"/>
    <n v="46"/>
    <n v="96"/>
    <n v="417"/>
    <n v="28"/>
    <n v="275"/>
    <n v="359"/>
    <n v="192"/>
    <n v="149"/>
    <n v="50"/>
    <n v="200"/>
    <n v="9"/>
    <n v="20"/>
  </r>
  <r>
    <x v="0"/>
    <x v="8"/>
    <x v="8"/>
    <x v="1"/>
    <n v="52"/>
    <n v="0.54"/>
    <n v="65"/>
    <s v="58,8"/>
    <n v="51"/>
    <n v="107"/>
    <n v="66"/>
    <n v="96"/>
    <n v="85"/>
    <n v="78"/>
    <n v="124"/>
    <n v="60"/>
    <n v="59"/>
    <n v="79"/>
    <n v="30"/>
    <n v="70"/>
    <n v="36"/>
    <n v="136"/>
    <n v="315"/>
    <n v="725"/>
    <n v="80"/>
    <n v="199"/>
    <n v="90"/>
    <n v="320"/>
    <n v="44"/>
    <n v="207"/>
    <n v="11"/>
  </r>
  <r>
    <x v="0"/>
    <x v="8"/>
    <x v="8"/>
    <x v="2"/>
    <n v="56"/>
    <n v="0.51"/>
    <n v="70"/>
    <s v="58,8"/>
    <n v="29"/>
    <n v="88"/>
    <n v="39"/>
    <n v="119"/>
    <n v="90"/>
    <n v="70"/>
    <n v="56"/>
    <n v="61"/>
    <n v="130"/>
    <n v="43"/>
    <n v="55"/>
    <n v="97"/>
    <n v="96"/>
    <n v="343"/>
    <n v="284"/>
    <n v="190"/>
    <n v="120"/>
    <n v="288"/>
    <n v="48"/>
    <n v="148"/>
    <n v="98"/>
    <n v="131"/>
    <n v="60"/>
  </r>
  <r>
    <x v="0"/>
    <x v="8"/>
    <x v="8"/>
    <x v="3"/>
    <n v="40"/>
    <n v="0.79"/>
    <n v="50"/>
    <s v="30,45"/>
    <n v="63"/>
    <n v="99"/>
    <n v="35"/>
    <n v="85"/>
    <n v="71"/>
    <n v="67"/>
    <n v="62"/>
    <n v="126"/>
    <n v="122"/>
    <n v="50"/>
    <n v="60"/>
    <n v="75"/>
    <n v="52"/>
    <n v="417"/>
    <n v="141"/>
    <n v="840"/>
    <n v="187"/>
    <n v="100"/>
    <n v="86"/>
    <n v="44"/>
    <n v="56"/>
    <n v="160"/>
    <n v="50"/>
  </r>
  <r>
    <x v="0"/>
    <x v="9"/>
    <x v="9"/>
    <x v="0"/>
    <n v="74"/>
    <n v="0.69"/>
    <s v="92,5"/>
    <s v="29,4"/>
    <n v="67"/>
    <n v="99"/>
    <n v="40"/>
    <n v="80"/>
    <n v="93"/>
    <n v="111"/>
    <n v="134"/>
    <n v="111"/>
    <n v="126"/>
    <n v="60"/>
    <n v="60"/>
    <n v="56"/>
    <n v="134"/>
    <n v="172"/>
    <n v="54"/>
    <n v="937"/>
    <n v="98"/>
    <n v="211"/>
    <n v="215"/>
    <n v="44"/>
    <n v="68"/>
    <n v="21"/>
    <n v="25"/>
  </r>
  <r>
    <x v="0"/>
    <x v="9"/>
    <x v="9"/>
    <x v="1"/>
    <n v="22"/>
    <n v="0.46"/>
    <s v="27,5"/>
    <s v="56,7"/>
    <n v="36"/>
    <n v="77"/>
    <n v="90"/>
    <n v="90"/>
    <n v="39"/>
    <n v="68"/>
    <n v="90"/>
    <n v="106"/>
    <n v="68"/>
    <n v="69"/>
    <n v="53"/>
    <n v="77"/>
    <n v="78"/>
    <n v="159"/>
    <n v="4"/>
    <n v="295"/>
    <n v="129"/>
    <n v="18"/>
    <n v="130"/>
    <n v="60"/>
    <n v="328"/>
    <n v="20"/>
    <n v="96"/>
  </r>
  <r>
    <x v="0"/>
    <x v="9"/>
    <x v="9"/>
    <x v="2"/>
    <n v="92"/>
    <n v="0.61"/>
    <n v="115"/>
    <s v="47,25"/>
    <n v="48"/>
    <n v="104"/>
    <n v="88"/>
    <n v="135"/>
    <n v="74"/>
    <n v="104"/>
    <n v="57"/>
    <n v="112"/>
    <n v="122"/>
    <n v="58"/>
    <n v="43"/>
    <n v="80"/>
    <n v="63"/>
    <n v="128"/>
    <n v="66"/>
    <n v="115"/>
    <n v="180"/>
    <n v="183"/>
    <n v="183"/>
    <n v="440"/>
    <n v="98"/>
    <n v="158"/>
    <n v="47"/>
  </r>
  <r>
    <x v="0"/>
    <x v="9"/>
    <x v="9"/>
    <x v="3"/>
    <n v="92"/>
    <n v="0.77"/>
    <n v="115"/>
    <s v="17,85"/>
    <n v="47"/>
    <n v="112"/>
    <n v="68"/>
    <n v="72"/>
    <n v="41"/>
    <n v="110"/>
    <n v="69"/>
    <n v="54"/>
    <n v="79"/>
    <n v="98"/>
    <n v="65"/>
    <n v="46"/>
    <n v="45"/>
    <n v="338"/>
    <n v="264"/>
    <n v="577"/>
    <n v="43"/>
    <n v="52"/>
    <n v="63"/>
    <n v="288"/>
    <n v="44"/>
    <n v="130"/>
    <n v="105"/>
  </r>
  <r>
    <x v="0"/>
    <x v="10"/>
    <x v="10"/>
    <x v="0"/>
    <n v="87"/>
    <n v="0.53"/>
    <s v="108,75"/>
    <s v="37,8"/>
    <n v="81"/>
    <n v="39"/>
    <n v="97"/>
    <n v="88"/>
    <n v="105"/>
    <n v="89"/>
    <n v="95"/>
    <n v="75"/>
    <n v="124"/>
    <n v="78"/>
    <n v="28"/>
    <n v="44"/>
    <n v="121"/>
    <n v="35"/>
    <n v="66"/>
    <n v="415"/>
    <n v="72"/>
    <n v="115"/>
    <n v="83"/>
    <n v="408"/>
    <n v="303"/>
    <n v="136"/>
    <n v="12"/>
  </r>
  <r>
    <x v="0"/>
    <x v="10"/>
    <x v="10"/>
    <x v="1"/>
    <n v="40"/>
    <n v="0.67"/>
    <n v="50"/>
    <s v="57,75"/>
    <n v="55"/>
    <n v="45"/>
    <n v="53"/>
    <n v="114"/>
    <n v="107"/>
    <n v="69"/>
    <n v="66"/>
    <n v="59"/>
    <n v="81"/>
    <n v="70"/>
    <n v="57"/>
    <n v="67"/>
    <n v="98"/>
    <n v="10"/>
    <n v="234"/>
    <n v="697"/>
    <n v="182"/>
    <n v="278"/>
    <n v="123"/>
    <n v="114"/>
    <n v="92"/>
    <n v="152"/>
    <n v="84"/>
  </r>
  <r>
    <x v="0"/>
    <x v="10"/>
    <x v="10"/>
    <x v="2"/>
    <n v="71"/>
    <n v="0.47"/>
    <s v="88,75"/>
    <s v="25,2"/>
    <n v="57"/>
    <n v="94"/>
    <n v="63"/>
    <n v="143"/>
    <n v="83"/>
    <n v="74"/>
    <n v="47"/>
    <n v="58"/>
    <n v="137"/>
    <n v="94"/>
    <n v="37"/>
    <n v="74"/>
    <n v="21"/>
    <n v="97"/>
    <n v="133"/>
    <n v="255"/>
    <n v="62"/>
    <n v="67"/>
    <n v="58"/>
    <n v="700"/>
    <n v="232"/>
    <n v="106"/>
    <n v="165"/>
  </r>
  <r>
    <x v="0"/>
    <x v="10"/>
    <x v="10"/>
    <x v="3"/>
    <n v="34"/>
    <n v="0.73"/>
    <s v="42,5"/>
    <s v="34,65"/>
    <n v="29"/>
    <n v="94"/>
    <n v="36"/>
    <n v="105"/>
    <n v="65"/>
    <n v="68"/>
    <n v="52"/>
    <n v="94"/>
    <n v="140"/>
    <n v="71"/>
    <n v="74"/>
    <n v="72"/>
    <n v="60"/>
    <n v="176"/>
    <n v="222"/>
    <n v="472"/>
    <n v="23"/>
    <n v="29"/>
    <n v="61"/>
    <n v="410"/>
    <n v="263"/>
    <n v="135"/>
    <n v="62"/>
  </r>
  <r>
    <x v="0"/>
    <x v="11"/>
    <x v="11"/>
    <x v="0"/>
    <n v="90"/>
    <n v="0.57999999999999996"/>
    <s v="112,5"/>
    <s v="12,6"/>
    <n v="61"/>
    <n v="79"/>
    <n v="94"/>
    <n v="77"/>
    <n v="50"/>
    <n v="110"/>
    <n v="106"/>
    <n v="119"/>
    <n v="148"/>
    <n v="50"/>
    <n v="53"/>
    <n v="72"/>
    <n v="82"/>
    <n v="283"/>
    <n v="37"/>
    <n v="265"/>
    <n v="190"/>
    <n v="88"/>
    <n v="125"/>
    <n v="344"/>
    <n v="138"/>
    <n v="13"/>
    <n v="47"/>
  </r>
  <r>
    <x v="0"/>
    <x v="11"/>
    <x v="11"/>
    <x v="1"/>
    <n v="101"/>
    <n v="0.59"/>
    <s v="126,25"/>
    <s v="18,9"/>
    <n v="57"/>
    <n v="84"/>
    <n v="85"/>
    <n v="138"/>
    <n v="111"/>
    <n v="44"/>
    <n v="133"/>
    <n v="120"/>
    <n v="111"/>
    <n v="84"/>
    <n v="74"/>
    <n v="53"/>
    <n v="115"/>
    <n v="235"/>
    <n v="191"/>
    <n v="220"/>
    <n v="338"/>
    <n v="75"/>
    <n v="133"/>
    <n v="128"/>
    <n v="6"/>
    <n v="151"/>
    <n v="68"/>
  </r>
  <r>
    <x v="0"/>
    <x v="11"/>
    <x v="11"/>
    <x v="2"/>
    <n v="58"/>
    <n v="0.3"/>
    <s v="72,5"/>
    <s v="57,75"/>
    <n v="59"/>
    <n v="73"/>
    <n v="96"/>
    <n v="135"/>
    <n v="71"/>
    <n v="116"/>
    <n v="113"/>
    <n v="70"/>
    <n v="144"/>
    <n v="86"/>
    <n v="71"/>
    <n v="37"/>
    <n v="97"/>
    <n v="63"/>
    <n v="17"/>
    <n v="592"/>
    <n v="194"/>
    <n v="145"/>
    <n v="234"/>
    <n v="24"/>
    <n v="63"/>
    <n v="154"/>
    <n v="60"/>
  </r>
  <r>
    <x v="0"/>
    <x v="11"/>
    <x v="11"/>
    <x v="3"/>
    <n v="51"/>
    <n v="0.35"/>
    <s v="63,75"/>
    <s v="17,85"/>
    <n v="66"/>
    <n v="69"/>
    <n v="48"/>
    <n v="80"/>
    <n v="41"/>
    <n v="126"/>
    <n v="111"/>
    <n v="83"/>
    <n v="114"/>
    <n v="94"/>
    <n v="72"/>
    <n v="33"/>
    <n v="66"/>
    <n v="119"/>
    <n v="47"/>
    <n v="492"/>
    <n v="16"/>
    <n v="337"/>
    <n v="55"/>
    <n v="270"/>
    <n v="63"/>
    <n v="74"/>
    <n v="174"/>
  </r>
  <r>
    <x v="1"/>
    <x v="0"/>
    <x v="0"/>
    <x v="0"/>
    <n v="29"/>
    <n v="0.51"/>
    <s v="82,5"/>
    <s v="16,8"/>
    <n v="68"/>
    <n v="131"/>
    <n v="32"/>
    <n v="120"/>
    <n v="37"/>
    <n v="39"/>
    <n v="66"/>
    <n v="50"/>
    <n v="134"/>
    <n v="62"/>
    <n v="94"/>
    <n v="112"/>
    <n v="75"/>
    <n v="352"/>
    <n v="103"/>
    <n v="325"/>
    <n v="286"/>
    <n v="374"/>
    <n v="7"/>
    <n v="26"/>
    <n v="12"/>
    <n v="111"/>
    <n v="345"/>
  </r>
  <r>
    <x v="1"/>
    <x v="0"/>
    <x v="0"/>
    <x v="1"/>
    <n v="65"/>
    <n v="0.4"/>
    <s v="76,25"/>
    <s v="27,3"/>
    <n v="138"/>
    <n v="37"/>
    <n v="39"/>
    <n v="82"/>
    <n v="51"/>
    <n v="65"/>
    <n v="96"/>
    <n v="63"/>
    <n v="62"/>
    <n v="44"/>
    <n v="65"/>
    <n v="54"/>
    <n v="36"/>
    <n v="52"/>
    <n v="358"/>
    <n v="454"/>
    <n v="33"/>
    <n v="354"/>
    <n v="225"/>
    <n v="30"/>
    <n v="23"/>
    <n v="382"/>
    <n v="68"/>
  </r>
  <r>
    <x v="1"/>
    <x v="0"/>
    <x v="0"/>
    <x v="2"/>
    <n v="36"/>
    <n v="0.28999999999999998"/>
    <s v="38,75"/>
    <s v="25,2"/>
    <n v="90"/>
    <n v="103"/>
    <n v="50"/>
    <n v="50"/>
    <n v="76"/>
    <n v="35"/>
    <n v="36"/>
    <n v="49"/>
    <n v="54"/>
    <n v="73"/>
    <n v="71"/>
    <n v="77"/>
    <n v="90"/>
    <n v="106"/>
    <n v="216"/>
    <n v="420"/>
    <n v="45"/>
    <n v="197"/>
    <n v="139"/>
    <n v="73"/>
    <n v="232"/>
    <n v="165"/>
    <n v="178"/>
  </r>
  <r>
    <x v="1"/>
    <x v="0"/>
    <x v="0"/>
    <x v="3"/>
    <n v="51"/>
    <n v="0.28000000000000003"/>
    <s v="128,75"/>
    <s v="10,5"/>
    <n v="140"/>
    <n v="57"/>
    <n v="81"/>
    <n v="92"/>
    <n v="91"/>
    <n v="97"/>
    <n v="55"/>
    <n v="115"/>
    <n v="59"/>
    <n v="74"/>
    <n v="45"/>
    <n v="81"/>
    <n v="77"/>
    <n v="286"/>
    <n v="90"/>
    <n v="191"/>
    <n v="246"/>
    <n v="237"/>
    <n v="146"/>
    <n v="210"/>
    <n v="119"/>
    <n v="98"/>
    <n v="189"/>
  </r>
  <r>
    <x v="1"/>
    <x v="1"/>
    <x v="1"/>
    <x v="0"/>
    <n v="80"/>
    <n v="0.46"/>
    <s v="152,5"/>
    <s v="48,3"/>
    <n v="69"/>
    <n v="117"/>
    <n v="96"/>
    <n v="35"/>
    <n v="67"/>
    <n v="43"/>
    <n v="58"/>
    <n v="71"/>
    <n v="84"/>
    <n v="87"/>
    <n v="106"/>
    <n v="60"/>
    <n v="40"/>
    <n v="101"/>
    <n v="39"/>
    <n v="40"/>
    <n v="13"/>
    <n v="18"/>
    <n v="152"/>
    <n v="62"/>
    <n v="122"/>
    <n v="134"/>
    <n v="10"/>
  </r>
  <r>
    <x v="1"/>
    <x v="1"/>
    <x v="1"/>
    <x v="1"/>
    <n v="94"/>
    <n v="0.54"/>
    <s v="76,25"/>
    <s v="48,3"/>
    <n v="98"/>
    <n v="118"/>
    <n v="70"/>
    <n v="54"/>
    <n v="43"/>
    <n v="49"/>
    <n v="138"/>
    <n v="77"/>
    <n v="78"/>
    <n v="89"/>
    <n v="40"/>
    <n v="56"/>
    <n v="82"/>
    <n v="178"/>
    <n v="151"/>
    <n v="184"/>
    <n v="125"/>
    <n v="146"/>
    <n v="85"/>
    <n v="468"/>
    <n v="31"/>
    <n v="48"/>
    <n v="93"/>
  </r>
  <r>
    <x v="1"/>
    <x v="1"/>
    <x v="1"/>
    <x v="2"/>
    <n v="96"/>
    <n v="0.49"/>
    <n v="50"/>
    <s v="32,55"/>
    <n v="54"/>
    <n v="89"/>
    <n v="79"/>
    <n v="90"/>
    <n v="113"/>
    <n v="114"/>
    <n v="71"/>
    <n v="37"/>
    <n v="39"/>
    <n v="108"/>
    <n v="83"/>
    <n v="135"/>
    <n v="97"/>
    <n v="197"/>
    <n v="261"/>
    <n v="114"/>
    <n v="89"/>
    <n v="484"/>
    <n v="200"/>
    <n v="216"/>
    <n v="35"/>
    <n v="128"/>
    <n v="81"/>
  </r>
  <r>
    <x v="1"/>
    <x v="1"/>
    <x v="1"/>
    <x v="3"/>
    <n v="44"/>
    <n v="0.41"/>
    <s v="73,75"/>
    <s v="39,9"/>
    <n v="125"/>
    <n v="98"/>
    <n v="123"/>
    <n v="60"/>
    <n v="100"/>
    <n v="45"/>
    <n v="59"/>
    <n v="79"/>
    <n v="61"/>
    <n v="65"/>
    <n v="42"/>
    <n v="49"/>
    <n v="55"/>
    <n v="210"/>
    <n v="3"/>
    <n v="302"/>
    <n v="16"/>
    <n v="82"/>
    <n v="52"/>
    <n v="137"/>
    <n v="274"/>
    <n v="340"/>
    <n v="173"/>
  </r>
  <r>
    <x v="1"/>
    <x v="2"/>
    <x v="2"/>
    <x v="0"/>
    <n v="109"/>
    <n v="0.54"/>
    <s v="107,5"/>
    <s v="12,6"/>
    <n v="42"/>
    <n v="98"/>
    <n v="53"/>
    <n v="47"/>
    <n v="102"/>
    <n v="102"/>
    <n v="84"/>
    <n v="108"/>
    <n v="96"/>
    <n v="113"/>
    <n v="87"/>
    <n v="35"/>
    <n v="105"/>
    <n v="68"/>
    <n v="340"/>
    <n v="138"/>
    <n v="456"/>
    <n v="97"/>
    <n v="31"/>
    <n v="23"/>
    <n v="46"/>
    <n v="75"/>
    <n v="349"/>
  </r>
  <r>
    <x v="1"/>
    <x v="2"/>
    <x v="2"/>
    <x v="1"/>
    <n v="29"/>
    <n v="0.48"/>
    <n v="110"/>
    <s v="19,95"/>
    <n v="70"/>
    <n v="77"/>
    <n v="97"/>
    <n v="52"/>
    <n v="43"/>
    <n v="141"/>
    <n v="71"/>
    <n v="25"/>
    <n v="113"/>
    <n v="80"/>
    <n v="75"/>
    <n v="30"/>
    <n v="66"/>
    <n v="156"/>
    <n v="467"/>
    <n v="15"/>
    <n v="354"/>
    <n v="71"/>
    <n v="40"/>
    <n v="43"/>
    <n v="67"/>
    <n v="163"/>
    <n v="57"/>
  </r>
  <r>
    <x v="1"/>
    <x v="2"/>
    <x v="2"/>
    <x v="2"/>
    <n v="28"/>
    <n v="0.25"/>
    <n v="155"/>
    <s v="24,15"/>
    <n v="86"/>
    <n v="82"/>
    <n v="101"/>
    <n v="68"/>
    <n v="131"/>
    <n v="61"/>
    <n v="80"/>
    <n v="39"/>
    <n v="91"/>
    <n v="35"/>
    <n v="40"/>
    <n v="98"/>
    <n v="47"/>
    <n v="179"/>
    <n v="65"/>
    <n v="196"/>
    <n v="371"/>
    <n v="526"/>
    <n v="221"/>
    <n v="25"/>
    <n v="345"/>
    <n v="61"/>
    <n v="282"/>
  </r>
  <r>
    <x v="1"/>
    <x v="2"/>
    <x v="2"/>
    <x v="3"/>
    <n v="125"/>
    <n v="0.49"/>
    <s v="126,25"/>
    <s v="38,85"/>
    <n v="102"/>
    <n v="52"/>
    <n v="76"/>
    <n v="56"/>
    <n v="75"/>
    <n v="63"/>
    <n v="86"/>
    <n v="67"/>
    <n v="67"/>
    <n v="77"/>
    <n v="43"/>
    <n v="73"/>
    <n v="37"/>
    <n v="5"/>
    <n v="188"/>
    <n v="157"/>
    <n v="61"/>
    <n v="148"/>
    <n v="270"/>
    <n v="113"/>
    <n v="151"/>
    <n v="152"/>
    <n v="368"/>
  </r>
  <r>
    <x v="1"/>
    <x v="3"/>
    <x v="3"/>
    <x v="0"/>
    <n v="28"/>
    <n v="0.41"/>
    <s v="42,5"/>
    <s v="59,85"/>
    <n v="124"/>
    <n v="31"/>
    <n v="121"/>
    <n v="36"/>
    <n v="118"/>
    <n v="108"/>
    <n v="53"/>
    <n v="37"/>
    <n v="77"/>
    <n v="36"/>
    <n v="133"/>
    <n v="79"/>
    <n v="117"/>
    <n v="429"/>
    <n v="241"/>
    <n v="60"/>
    <n v="422"/>
    <n v="28"/>
    <n v="50"/>
    <n v="117"/>
    <n v="39"/>
    <n v="20"/>
    <n v="78"/>
  </r>
  <r>
    <x v="1"/>
    <x v="3"/>
    <x v="3"/>
    <x v="1"/>
    <n v="98"/>
    <n v="0.38"/>
    <s v="108,75"/>
    <s v="57,75"/>
    <n v="53"/>
    <n v="55"/>
    <n v="48"/>
    <n v="69"/>
    <n v="102"/>
    <n v="127"/>
    <n v="47"/>
    <n v="62"/>
    <n v="84"/>
    <n v="75"/>
    <n v="63"/>
    <n v="56"/>
    <n v="58"/>
    <n v="229"/>
    <n v="197"/>
    <n v="69"/>
    <n v="225"/>
    <n v="57"/>
    <n v="338"/>
    <n v="212"/>
    <n v="25"/>
    <n v="63"/>
    <n v="36"/>
  </r>
  <r>
    <x v="1"/>
    <x v="3"/>
    <x v="3"/>
    <x v="2"/>
    <n v="55"/>
    <n v="0.2"/>
    <s v="36,25"/>
    <s v="19,95"/>
    <n v="105"/>
    <n v="118"/>
    <n v="87"/>
    <n v="45"/>
    <n v="54"/>
    <n v="94"/>
    <n v="47"/>
    <n v="101"/>
    <n v="56"/>
    <n v="80"/>
    <n v="47"/>
    <n v="103"/>
    <n v="82"/>
    <n v="67"/>
    <n v="135"/>
    <n v="291"/>
    <n v="21"/>
    <n v="28"/>
    <n v="542"/>
    <n v="22"/>
    <n v="53"/>
    <n v="168"/>
    <n v="168"/>
  </r>
  <r>
    <x v="1"/>
    <x v="3"/>
    <x v="3"/>
    <x v="3"/>
    <n v="42"/>
    <n v="0.46"/>
    <s v="153,75"/>
    <s v="46,2"/>
    <n v="36"/>
    <n v="102"/>
    <n v="37"/>
    <n v="99"/>
    <n v="126"/>
    <n v="74"/>
    <n v="102"/>
    <n v="52"/>
    <n v="47"/>
    <n v="47"/>
    <n v="102"/>
    <n v="81"/>
    <n v="92"/>
    <n v="230"/>
    <n v="100"/>
    <n v="85"/>
    <n v="26"/>
    <n v="42"/>
    <n v="93"/>
    <n v="130"/>
    <n v="56"/>
    <n v="203"/>
    <n v="245"/>
  </r>
  <r>
    <x v="1"/>
    <x v="4"/>
    <x v="4"/>
    <x v="0"/>
    <n v="72"/>
    <n v="0.5"/>
    <s v="33,75"/>
    <s v="50,4"/>
    <n v="110"/>
    <n v="52"/>
    <n v="29"/>
    <n v="95"/>
    <n v="122"/>
    <n v="67"/>
    <n v="63"/>
    <n v="64"/>
    <n v="61"/>
    <n v="38"/>
    <n v="58"/>
    <n v="107"/>
    <n v="110"/>
    <n v="43"/>
    <n v="355"/>
    <n v="57"/>
    <n v="176"/>
    <n v="148"/>
    <n v="35"/>
    <n v="38"/>
    <n v="32"/>
    <n v="175"/>
    <n v="154"/>
  </r>
  <r>
    <x v="1"/>
    <x v="4"/>
    <x v="4"/>
    <x v="1"/>
    <n v="31"/>
    <n v="0.48"/>
    <s v="137,5"/>
    <s v="57,75"/>
    <n v="56"/>
    <n v="63"/>
    <n v="117"/>
    <n v="114"/>
    <n v="32"/>
    <n v="116"/>
    <n v="36"/>
    <n v="126"/>
    <n v="61"/>
    <n v="60"/>
    <n v="46"/>
    <n v="73"/>
    <n v="68"/>
    <n v="65"/>
    <n v="435"/>
    <n v="80"/>
    <n v="566"/>
    <n v="15"/>
    <n v="21"/>
    <n v="259"/>
    <n v="317"/>
    <n v="367"/>
    <n v="334"/>
  </r>
  <r>
    <x v="1"/>
    <x v="4"/>
    <x v="4"/>
    <x v="2"/>
    <n v="65"/>
    <n v="0.64"/>
    <n v="150"/>
    <s v="19,95"/>
    <n v="93"/>
    <n v="55"/>
    <n v="86"/>
    <n v="94"/>
    <n v="83"/>
    <n v="96"/>
    <n v="71"/>
    <n v="77"/>
    <n v="51"/>
    <n v="71"/>
    <n v="57"/>
    <n v="127"/>
    <n v="94"/>
    <n v="44"/>
    <n v="62"/>
    <n v="86"/>
    <n v="222"/>
    <n v="43"/>
    <n v="40"/>
    <n v="112"/>
    <n v="57"/>
    <n v="372"/>
    <n v="116"/>
  </r>
  <r>
    <x v="1"/>
    <x v="4"/>
    <x v="4"/>
    <x v="3"/>
    <n v="28"/>
    <n v="0.46"/>
    <s v="157,5"/>
    <s v="10,5"/>
    <n v="99"/>
    <n v="54"/>
    <n v="34"/>
    <n v="57"/>
    <n v="41"/>
    <n v="27"/>
    <n v="58"/>
    <n v="77"/>
    <n v="39"/>
    <n v="60"/>
    <n v="61"/>
    <n v="117"/>
    <n v="120"/>
    <n v="184"/>
    <n v="305"/>
    <n v="420"/>
    <n v="93"/>
    <n v="163"/>
    <n v="25"/>
    <n v="240"/>
    <n v="132"/>
    <n v="83"/>
    <n v="145"/>
  </r>
  <r>
    <x v="1"/>
    <x v="5"/>
    <x v="5"/>
    <x v="0"/>
    <n v="126"/>
    <n v="0.56999999999999995"/>
    <s v="148,75"/>
    <s v="35,7"/>
    <n v="89"/>
    <n v="73"/>
    <n v="95"/>
    <n v="95"/>
    <n v="99"/>
    <n v="124"/>
    <n v="50"/>
    <n v="80"/>
    <n v="64"/>
    <n v="107"/>
    <n v="79"/>
    <n v="65"/>
    <n v="34"/>
    <n v="566"/>
    <n v="637"/>
    <n v="35"/>
    <n v="112"/>
    <n v="93"/>
    <n v="102"/>
    <n v="120"/>
    <n v="138"/>
    <n v="136"/>
    <n v="46"/>
  </r>
  <r>
    <x v="1"/>
    <x v="5"/>
    <x v="5"/>
    <x v="1"/>
    <n v="61"/>
    <n v="0.66"/>
    <s v="96,25"/>
    <s v="58,8"/>
    <n v="71"/>
    <n v="99"/>
    <n v="68"/>
    <n v="57"/>
    <n v="60"/>
    <n v="89"/>
    <n v="94"/>
    <n v="45"/>
    <n v="136"/>
    <n v="71"/>
    <n v="77"/>
    <n v="70"/>
    <n v="111"/>
    <n v="232"/>
    <n v="126"/>
    <n v="79"/>
    <n v="342"/>
    <n v="5"/>
    <n v="114"/>
    <n v="132"/>
    <n v="5"/>
    <n v="105"/>
    <n v="64"/>
  </r>
  <r>
    <x v="1"/>
    <x v="5"/>
    <x v="5"/>
    <x v="2"/>
    <n v="113"/>
    <n v="0.23"/>
    <n v="145"/>
    <s v="19,95"/>
    <n v="96"/>
    <n v="103"/>
    <n v="91"/>
    <n v="125"/>
    <n v="61"/>
    <n v="136"/>
    <n v="53"/>
    <n v="58"/>
    <n v="115"/>
    <n v="62"/>
    <n v="73"/>
    <n v="49"/>
    <n v="125"/>
    <n v="75"/>
    <n v="16"/>
    <n v="100"/>
    <n v="142"/>
    <n v="91"/>
    <n v="134"/>
    <n v="267"/>
    <n v="314"/>
    <n v="22"/>
    <n v="72"/>
  </r>
  <r>
    <x v="1"/>
    <x v="5"/>
    <x v="5"/>
    <x v="3"/>
    <n v="117"/>
    <n v="0.64"/>
    <s v="57,5"/>
    <s v="23,1"/>
    <n v="103"/>
    <n v="40"/>
    <n v="109"/>
    <n v="64"/>
    <n v="94"/>
    <n v="54"/>
    <n v="80"/>
    <n v="93"/>
    <n v="44"/>
    <n v="73"/>
    <n v="119"/>
    <n v="44"/>
    <n v="50"/>
    <n v="19"/>
    <n v="273"/>
    <n v="43"/>
    <n v="116"/>
    <n v="80"/>
    <n v="225"/>
    <n v="160"/>
    <n v="114"/>
    <n v="146"/>
    <n v="33"/>
  </r>
  <r>
    <x v="1"/>
    <x v="6"/>
    <x v="6"/>
    <x v="0"/>
    <n v="46"/>
    <n v="0.25"/>
    <s v="146,25"/>
    <s v="46,2"/>
    <n v="60"/>
    <n v="44"/>
    <n v="97"/>
    <n v="131"/>
    <n v="65"/>
    <n v="96"/>
    <n v="72"/>
    <n v="55"/>
    <n v="48"/>
    <n v="115"/>
    <n v="80"/>
    <n v="60"/>
    <n v="98"/>
    <n v="72"/>
    <n v="95"/>
    <n v="162"/>
    <n v="51"/>
    <n v="231"/>
    <n v="128"/>
    <n v="44"/>
    <n v="48"/>
    <n v="172"/>
    <n v="120"/>
  </r>
  <r>
    <x v="1"/>
    <x v="6"/>
    <x v="6"/>
    <x v="1"/>
    <n v="116"/>
    <n v="0.46"/>
    <s v="141,25"/>
    <s v="24,15"/>
    <n v="55"/>
    <n v="58"/>
    <n v="92"/>
    <n v="79"/>
    <n v="84"/>
    <n v="45"/>
    <n v="147"/>
    <n v="63"/>
    <n v="46"/>
    <n v="79"/>
    <n v="69"/>
    <n v="83"/>
    <n v="66"/>
    <n v="50"/>
    <n v="143"/>
    <n v="234"/>
    <n v="144"/>
    <n v="44"/>
    <n v="170"/>
    <n v="210"/>
    <n v="38"/>
    <n v="255"/>
    <n v="27"/>
  </r>
  <r>
    <x v="1"/>
    <x v="6"/>
    <x v="6"/>
    <x v="2"/>
    <n v="77"/>
    <n v="0.5"/>
    <s v="76,25"/>
    <s v="61,95"/>
    <n v="51"/>
    <n v="42"/>
    <n v="35"/>
    <n v="96"/>
    <n v="54"/>
    <n v="41"/>
    <n v="63"/>
    <n v="121"/>
    <n v="44"/>
    <n v="54"/>
    <n v="79"/>
    <n v="60"/>
    <n v="27"/>
    <n v="111"/>
    <n v="39"/>
    <n v="40"/>
    <n v="285"/>
    <n v="180"/>
    <n v="165"/>
    <n v="377"/>
    <n v="42"/>
    <n v="76"/>
    <n v="63"/>
  </r>
  <r>
    <x v="1"/>
    <x v="6"/>
    <x v="6"/>
    <x v="3"/>
    <n v="119"/>
    <n v="0.52"/>
    <s v="157,5"/>
    <s v="51,45"/>
    <n v="40"/>
    <n v="69"/>
    <n v="93"/>
    <n v="134"/>
    <n v="107"/>
    <n v="46"/>
    <n v="38"/>
    <n v="113"/>
    <n v="54"/>
    <n v="42"/>
    <n v="133"/>
    <n v="49"/>
    <n v="86"/>
    <n v="60"/>
    <n v="231"/>
    <n v="210"/>
    <n v="44"/>
    <n v="84"/>
    <n v="237"/>
    <n v="76"/>
    <n v="11"/>
    <n v="110"/>
    <n v="122"/>
  </r>
  <r>
    <x v="1"/>
    <x v="7"/>
    <x v="7"/>
    <x v="0"/>
    <n v="126"/>
    <n v="0.48"/>
    <n v="35"/>
    <s v="43,05"/>
    <n v="89"/>
    <n v="76"/>
    <n v="25"/>
    <n v="70"/>
    <n v="103"/>
    <n v="71"/>
    <n v="136"/>
    <n v="83"/>
    <n v="41"/>
    <n v="76"/>
    <n v="86"/>
    <n v="82"/>
    <n v="105"/>
    <n v="103"/>
    <n v="154"/>
    <n v="92"/>
    <n v="83"/>
    <n v="208"/>
    <n v="360"/>
    <n v="140"/>
    <n v="427"/>
    <n v="396"/>
    <n v="281"/>
  </r>
  <r>
    <x v="1"/>
    <x v="7"/>
    <x v="7"/>
    <x v="1"/>
    <n v="120"/>
    <n v="0.46"/>
    <s v="81,25"/>
    <s v="38,85"/>
    <n v="69"/>
    <n v="65"/>
    <n v="57"/>
    <n v="42"/>
    <n v="71"/>
    <n v="70"/>
    <n v="42"/>
    <n v="27"/>
    <n v="141"/>
    <n v="134"/>
    <n v="48"/>
    <n v="74"/>
    <n v="17"/>
    <n v="59"/>
    <n v="132"/>
    <n v="372"/>
    <n v="83"/>
    <n v="75"/>
    <n v="250"/>
    <n v="145"/>
    <n v="355"/>
    <n v="292"/>
    <n v="448"/>
  </r>
  <r>
    <x v="1"/>
    <x v="7"/>
    <x v="7"/>
    <x v="2"/>
    <n v="110"/>
    <n v="0.57999999999999996"/>
    <s v="38,75"/>
    <s v="25,2"/>
    <n v="41"/>
    <n v="49"/>
    <n v="60"/>
    <n v="57"/>
    <n v="38"/>
    <n v="51"/>
    <n v="36"/>
    <n v="97"/>
    <n v="98"/>
    <n v="71"/>
    <n v="77"/>
    <n v="82"/>
    <n v="74"/>
    <n v="672"/>
    <n v="16"/>
    <n v="177"/>
    <n v="110"/>
    <n v="180"/>
    <n v="161"/>
    <n v="188"/>
    <n v="198"/>
    <n v="54"/>
    <n v="136"/>
  </r>
  <r>
    <x v="1"/>
    <x v="7"/>
    <x v="7"/>
    <x v="3"/>
    <n v="27"/>
    <n v="0.26"/>
    <n v="90"/>
    <s v="27,3"/>
    <n v="48"/>
    <n v="49"/>
    <n v="62"/>
    <n v="93"/>
    <n v="69"/>
    <n v="63"/>
    <n v="112"/>
    <n v="51"/>
    <n v="74"/>
    <n v="74"/>
    <n v="74"/>
    <n v="75"/>
    <n v="63"/>
    <n v="46"/>
    <n v="55"/>
    <n v="147"/>
    <n v="94"/>
    <n v="140"/>
    <n v="65"/>
    <n v="107"/>
    <n v="16"/>
    <n v="139"/>
    <n v="660"/>
  </r>
  <r>
    <x v="1"/>
    <x v="8"/>
    <x v="8"/>
    <x v="0"/>
    <n v="123"/>
    <n v="0.41"/>
    <s v="52,5"/>
    <n v="21"/>
    <n v="78"/>
    <n v="42"/>
    <n v="60"/>
    <n v="92"/>
    <n v="99"/>
    <n v="82"/>
    <n v="75"/>
    <n v="120"/>
    <n v="59"/>
    <n v="126"/>
    <n v="65"/>
    <n v="53"/>
    <n v="101"/>
    <n v="83"/>
    <n v="156"/>
    <n v="131"/>
    <n v="93"/>
    <n v="133"/>
    <n v="40"/>
    <n v="85"/>
    <n v="197"/>
    <n v="187"/>
    <n v="200"/>
  </r>
  <r>
    <x v="1"/>
    <x v="8"/>
    <x v="8"/>
    <x v="1"/>
    <n v="29"/>
    <n v="0.6"/>
    <s v="68,75"/>
    <s v="55,65"/>
    <n v="85"/>
    <n v="44"/>
    <n v="91"/>
    <n v="88"/>
    <n v="69"/>
    <n v="35"/>
    <n v="138"/>
    <n v="81"/>
    <n v="111"/>
    <n v="92"/>
    <n v="119"/>
    <n v="102"/>
    <n v="121"/>
    <n v="9"/>
    <n v="232"/>
    <n v="38"/>
    <n v="220"/>
    <n v="290"/>
    <n v="9"/>
    <n v="412"/>
    <n v="173"/>
    <n v="97"/>
    <n v="133"/>
  </r>
  <r>
    <x v="1"/>
    <x v="8"/>
    <x v="8"/>
    <x v="2"/>
    <n v="87"/>
    <n v="0.41"/>
    <s v="122,5"/>
    <s v="27,3"/>
    <n v="90"/>
    <n v="87"/>
    <n v="126"/>
    <n v="125"/>
    <n v="100"/>
    <n v="52"/>
    <n v="59"/>
    <n v="78"/>
    <n v="72"/>
    <n v="60"/>
    <n v="52"/>
    <n v="76"/>
    <n v="93"/>
    <n v="206"/>
    <n v="49"/>
    <n v="88"/>
    <n v="208"/>
    <n v="14"/>
    <n v="10"/>
    <n v="33"/>
    <n v="31"/>
    <n v="947"/>
    <n v="316"/>
  </r>
  <r>
    <x v="1"/>
    <x v="8"/>
    <x v="8"/>
    <x v="3"/>
    <n v="34"/>
    <n v="0.59"/>
    <n v="35"/>
    <s v="32,55"/>
    <n v="57"/>
    <n v="68"/>
    <n v="82"/>
    <n v="52"/>
    <n v="92"/>
    <n v="32"/>
    <n v="111"/>
    <n v="30"/>
    <n v="90"/>
    <n v="72"/>
    <n v="106"/>
    <n v="83"/>
    <n v="51"/>
    <n v="230"/>
    <n v="149"/>
    <n v="115"/>
    <n v="89"/>
    <n v="136"/>
    <n v="9"/>
    <n v="136"/>
    <n v="112"/>
    <n v="43"/>
    <n v="86"/>
  </r>
  <r>
    <x v="1"/>
    <x v="9"/>
    <x v="9"/>
    <x v="0"/>
    <n v="101"/>
    <n v="0.52"/>
    <s v="156,25"/>
    <s v="57,75"/>
    <n v="38"/>
    <n v="100"/>
    <n v="80"/>
    <n v="68"/>
    <n v="111"/>
    <n v="85"/>
    <n v="62"/>
    <n v="52"/>
    <n v="65"/>
    <n v="29"/>
    <n v="117"/>
    <n v="105"/>
    <n v="106"/>
    <n v="257"/>
    <n v="98"/>
    <n v="83"/>
    <n v="28"/>
    <n v="194"/>
    <n v="143"/>
    <n v="157"/>
    <n v="52"/>
    <n v="326"/>
    <n v="329"/>
  </r>
  <r>
    <x v="1"/>
    <x v="9"/>
    <x v="9"/>
    <x v="1"/>
    <n v="124"/>
    <n v="0.22"/>
    <n v="35"/>
    <s v="53,55"/>
    <n v="30"/>
    <n v="106"/>
    <n v="87"/>
    <n v="125"/>
    <n v="37"/>
    <n v="54"/>
    <n v="48"/>
    <n v="38"/>
    <n v="70"/>
    <n v="104"/>
    <n v="96"/>
    <n v="32"/>
    <n v="112"/>
    <n v="36"/>
    <n v="343"/>
    <n v="303"/>
    <n v="312"/>
    <n v="637"/>
    <n v="363"/>
    <n v="156"/>
    <n v="16"/>
    <n v="21"/>
    <n v="40"/>
  </r>
  <r>
    <x v="1"/>
    <x v="9"/>
    <x v="9"/>
    <x v="2"/>
    <n v="88"/>
    <n v="0.22"/>
    <s v="36,25"/>
    <s v="54,6"/>
    <n v="84"/>
    <n v="72"/>
    <n v="73"/>
    <n v="34"/>
    <n v="48"/>
    <n v="72"/>
    <n v="92"/>
    <n v="87"/>
    <n v="96"/>
    <n v="57"/>
    <n v="67"/>
    <n v="138"/>
    <n v="126"/>
    <n v="78"/>
    <n v="192"/>
    <n v="64"/>
    <n v="71"/>
    <n v="425"/>
    <n v="228"/>
    <n v="127"/>
    <n v="78"/>
    <n v="78"/>
    <n v="162"/>
  </r>
  <r>
    <x v="1"/>
    <x v="9"/>
    <x v="9"/>
    <x v="3"/>
    <n v="86"/>
    <n v="0.23"/>
    <s v="136,25"/>
    <s v="17,85"/>
    <n v="71"/>
    <n v="123"/>
    <n v="99"/>
    <n v="60"/>
    <n v="79"/>
    <n v="91"/>
    <n v="46"/>
    <n v="93"/>
    <n v="113"/>
    <n v="74"/>
    <n v="41"/>
    <n v="107"/>
    <n v="96"/>
    <n v="34"/>
    <n v="135"/>
    <n v="306"/>
    <n v="170"/>
    <n v="68"/>
    <n v="110"/>
    <n v="46"/>
    <n v="7"/>
    <n v="60"/>
    <n v="249"/>
  </r>
  <r>
    <x v="1"/>
    <x v="10"/>
    <x v="10"/>
    <x v="0"/>
    <n v="59"/>
    <n v="0.64"/>
    <n v="55"/>
    <s v="29,4"/>
    <n v="125"/>
    <n v="106"/>
    <n v="74"/>
    <n v="60"/>
    <n v="115"/>
    <n v="103"/>
    <n v="88"/>
    <n v="41"/>
    <n v="100"/>
    <n v="103"/>
    <n v="138"/>
    <n v="43"/>
    <n v="99"/>
    <n v="100"/>
    <n v="283"/>
    <n v="76"/>
    <n v="71"/>
    <n v="23"/>
    <n v="311"/>
    <n v="52"/>
    <n v="32"/>
    <n v="25"/>
    <n v="55"/>
  </r>
  <r>
    <x v="1"/>
    <x v="10"/>
    <x v="10"/>
    <x v="1"/>
    <n v="40"/>
    <n v="0.68"/>
    <n v="120"/>
    <s v="33,6"/>
    <n v="52"/>
    <n v="64"/>
    <n v="67"/>
    <n v="77"/>
    <n v="69"/>
    <n v="127"/>
    <n v="68"/>
    <n v="91"/>
    <n v="69"/>
    <n v="113"/>
    <n v="102"/>
    <n v="63"/>
    <n v="65"/>
    <n v="64"/>
    <n v="116"/>
    <n v="90"/>
    <n v="23"/>
    <n v="28"/>
    <n v="196"/>
    <n v="175"/>
    <n v="18"/>
    <n v="158"/>
    <n v="255"/>
  </r>
  <r>
    <x v="1"/>
    <x v="10"/>
    <x v="10"/>
    <x v="2"/>
    <n v="61"/>
    <n v="0.53"/>
    <s v="117,5"/>
    <s v="61,95"/>
    <n v="75"/>
    <n v="73"/>
    <n v="52"/>
    <n v="100"/>
    <n v="92"/>
    <n v="36"/>
    <n v="81"/>
    <n v="95"/>
    <n v="67"/>
    <n v="77"/>
    <n v="66"/>
    <n v="105"/>
    <n v="118"/>
    <n v="140"/>
    <n v="151"/>
    <n v="96"/>
    <n v="377"/>
    <n v="200"/>
    <n v="76"/>
    <n v="77"/>
    <n v="176"/>
    <n v="220"/>
    <n v="58"/>
  </r>
  <r>
    <x v="1"/>
    <x v="10"/>
    <x v="10"/>
    <x v="3"/>
    <n v="122"/>
    <n v="0.44"/>
    <n v="100"/>
    <s v="18,9"/>
    <n v="134"/>
    <n v="62"/>
    <n v="122"/>
    <n v="73"/>
    <n v="86"/>
    <n v="101"/>
    <n v="68"/>
    <n v="62"/>
    <n v="41"/>
    <n v="88"/>
    <n v="53"/>
    <n v="103"/>
    <n v="78"/>
    <n v="49"/>
    <n v="357"/>
    <n v="15"/>
    <n v="178"/>
    <n v="14"/>
    <n v="182"/>
    <n v="166"/>
    <n v="11"/>
    <n v="77"/>
    <n v="233"/>
  </r>
  <r>
    <x v="1"/>
    <x v="11"/>
    <x v="11"/>
    <x v="0"/>
    <n v="103"/>
    <n v="0.54"/>
    <s v="63,75"/>
    <s v="39,9"/>
    <n v="83"/>
    <n v="112"/>
    <n v="92"/>
    <n v="73"/>
    <n v="112"/>
    <n v="75"/>
    <n v="60"/>
    <n v="127"/>
    <n v="111"/>
    <n v="53"/>
    <n v="55"/>
    <n v="67"/>
    <n v="95"/>
    <n v="146"/>
    <n v="85"/>
    <n v="154"/>
    <n v="177"/>
    <n v="330"/>
    <n v="191"/>
    <n v="93"/>
    <n v="6"/>
    <n v="209"/>
    <n v="315"/>
  </r>
  <r>
    <x v="1"/>
    <x v="11"/>
    <x v="11"/>
    <x v="1"/>
    <n v="31"/>
    <n v="0.28000000000000003"/>
    <n v="45"/>
    <s v="38,85"/>
    <n v="122"/>
    <n v="27"/>
    <n v="82"/>
    <n v="46"/>
    <n v="110"/>
    <n v="56"/>
    <n v="47"/>
    <n v="56"/>
    <n v="43"/>
    <n v="109"/>
    <n v="46"/>
    <n v="91"/>
    <n v="70"/>
    <n v="40"/>
    <n v="74"/>
    <n v="48"/>
    <n v="365"/>
    <n v="54"/>
    <n v="15"/>
    <n v="292"/>
    <n v="22"/>
    <n v="35"/>
    <n v="38"/>
  </r>
  <r>
    <x v="1"/>
    <x v="11"/>
    <x v="11"/>
    <x v="2"/>
    <n v="61"/>
    <n v="0.31"/>
    <s v="81,25"/>
    <n v="21"/>
    <n v="55"/>
    <n v="48"/>
    <n v="71"/>
    <n v="82"/>
    <n v="63"/>
    <n v="50"/>
    <n v="77"/>
    <n v="98"/>
    <n v="64"/>
    <n v="66"/>
    <n v="65"/>
    <n v="40"/>
    <n v="110"/>
    <n v="35"/>
    <n v="678"/>
    <n v="38"/>
    <n v="39"/>
    <n v="231"/>
    <n v="206"/>
    <n v="143"/>
    <n v="23"/>
    <n v="235"/>
    <n v="33"/>
  </r>
  <r>
    <x v="1"/>
    <x v="11"/>
    <x v="11"/>
    <x v="3"/>
    <n v="66"/>
    <n v="0.43"/>
    <s v="36,25"/>
    <s v="14,7"/>
    <n v="115"/>
    <n v="55"/>
    <n v="121"/>
    <n v="95"/>
    <n v="63"/>
    <n v="79"/>
    <n v="53"/>
    <n v="61"/>
    <n v="104"/>
    <n v="125"/>
    <n v="95"/>
    <n v="43"/>
    <n v="66"/>
    <n v="262"/>
    <n v="81"/>
    <n v="74"/>
    <n v="196"/>
    <n v="180"/>
    <n v="138"/>
    <n v="58"/>
    <n v="25"/>
    <n v="134"/>
    <n v="78"/>
  </r>
  <r>
    <x v="2"/>
    <x v="0"/>
    <x v="0"/>
    <x v="0"/>
    <n v="82"/>
    <n v="0.5"/>
    <n v="103"/>
    <n v="41"/>
    <n v="88"/>
    <n v="71"/>
    <n v="52"/>
    <n v="73"/>
    <n v="79"/>
    <n v="46"/>
    <n v="42"/>
    <n v="37"/>
    <n v="49"/>
    <n v="104"/>
    <n v="108"/>
    <n v="51"/>
    <n v="41"/>
    <n v="118"/>
    <n v="42"/>
    <n v="940"/>
    <n v="291"/>
    <n v="320"/>
    <n v="71"/>
    <n v="80"/>
    <n v="17"/>
    <n v="42"/>
    <n v="130"/>
  </r>
  <r>
    <x v="2"/>
    <x v="0"/>
    <x v="0"/>
    <x v="1"/>
    <n v="56"/>
    <n v="0.77"/>
    <n v="70"/>
    <n v="55"/>
    <n v="74"/>
    <n v="65"/>
    <n v="117"/>
    <n v="48"/>
    <n v="50"/>
    <n v="54"/>
    <n v="87"/>
    <n v="61"/>
    <n v="119"/>
    <n v="54"/>
    <n v="142"/>
    <n v="128"/>
    <n v="34"/>
    <n v="126"/>
    <n v="75"/>
    <n v="170"/>
    <n v="149"/>
    <n v="149"/>
    <n v="353"/>
    <n v="114"/>
    <n v="168"/>
    <n v="136"/>
    <n v="49"/>
  </r>
  <r>
    <x v="2"/>
    <x v="0"/>
    <x v="0"/>
    <x v="2"/>
    <n v="76"/>
    <n v="0.48"/>
    <n v="95"/>
    <n v="31"/>
    <n v="44"/>
    <n v="74"/>
    <n v="84"/>
    <n v="90"/>
    <n v="79"/>
    <n v="64"/>
    <n v="35"/>
    <n v="126"/>
    <n v="108"/>
    <n v="61"/>
    <n v="73"/>
    <n v="72"/>
    <n v="76"/>
    <n v="66"/>
    <n v="165"/>
    <n v="93"/>
    <n v="170"/>
    <n v="126"/>
    <n v="166"/>
    <n v="5"/>
    <n v="26"/>
    <n v="35"/>
    <n v="5"/>
  </r>
  <r>
    <x v="2"/>
    <x v="0"/>
    <x v="0"/>
    <x v="3"/>
    <n v="114"/>
    <n v="0.59"/>
    <n v="142"/>
    <n v="42"/>
    <n v="112"/>
    <n v="55"/>
    <n v="149"/>
    <n v="51"/>
    <n v="70"/>
    <n v="37"/>
    <n v="107"/>
    <n v="110"/>
    <n v="66"/>
    <n v="78"/>
    <n v="92"/>
    <n v="83"/>
    <n v="39"/>
    <n v="46"/>
    <n v="161"/>
    <n v="223"/>
    <n v="277"/>
    <n v="50"/>
    <n v="114"/>
    <n v="150"/>
    <n v="179"/>
    <n v="66"/>
    <n v="183"/>
  </r>
  <r>
    <x v="2"/>
    <x v="1"/>
    <x v="1"/>
    <x v="0"/>
    <n v="92"/>
    <n v="0.62"/>
    <n v="115"/>
    <n v="25"/>
    <n v="81"/>
    <n v="100"/>
    <n v="46"/>
    <n v="116"/>
    <n v="106"/>
    <n v="70"/>
    <n v="106"/>
    <n v="101"/>
    <n v="50"/>
    <n v="30"/>
    <n v="62"/>
    <n v="87"/>
    <n v="28"/>
    <n v="150"/>
    <n v="115"/>
    <n v="25"/>
    <n v="60"/>
    <n v="314"/>
    <n v="105"/>
    <n v="82"/>
    <n v="17"/>
    <n v="16"/>
    <n v="270"/>
  </r>
  <r>
    <x v="2"/>
    <x v="1"/>
    <x v="1"/>
    <x v="1"/>
    <n v="35"/>
    <n v="0.77"/>
    <n v="43"/>
    <n v="22"/>
    <n v="43"/>
    <n v="62"/>
    <n v="99"/>
    <n v="78"/>
    <n v="83"/>
    <n v="82"/>
    <n v="58"/>
    <n v="48"/>
    <n v="94"/>
    <n v="92"/>
    <n v="100"/>
    <n v="59"/>
    <n v="60"/>
    <n v="70"/>
    <n v="198"/>
    <n v="67"/>
    <n v="189"/>
    <n v="19"/>
    <n v="237"/>
    <n v="56"/>
    <n v="67"/>
    <n v="28"/>
    <n v="100"/>
  </r>
  <r>
    <x v="2"/>
    <x v="1"/>
    <x v="1"/>
    <x v="2"/>
    <n v="83"/>
    <n v="0.48"/>
    <n v="104"/>
    <n v="53"/>
    <n v="93"/>
    <n v="74"/>
    <n v="98"/>
    <n v="137"/>
    <n v="46"/>
    <n v="82"/>
    <n v="58"/>
    <n v="76"/>
    <n v="48"/>
    <n v="91"/>
    <n v="86"/>
    <n v="126"/>
    <n v="73"/>
    <n v="172"/>
    <n v="95"/>
    <n v="189"/>
    <n v="352"/>
    <n v="62"/>
    <n v="310"/>
    <n v="300"/>
    <n v="136"/>
    <n v="163"/>
    <n v="49"/>
  </r>
  <r>
    <x v="2"/>
    <x v="1"/>
    <x v="1"/>
    <x v="3"/>
    <n v="47"/>
    <n v="0.78"/>
    <n v="59"/>
    <n v="16"/>
    <n v="86"/>
    <n v="92"/>
    <n v="102"/>
    <n v="107"/>
    <n v="116"/>
    <n v="105"/>
    <n v="52"/>
    <n v="43"/>
    <n v="77"/>
    <n v="59"/>
    <n v="53"/>
    <n v="76"/>
    <n v="85"/>
    <n v="227"/>
    <n v="112"/>
    <n v="292"/>
    <n v="84"/>
    <n v="102"/>
    <n v="28"/>
    <n v="341"/>
    <n v="66"/>
    <n v="72"/>
    <n v="532"/>
  </r>
  <r>
    <x v="2"/>
    <x v="2"/>
    <x v="2"/>
    <x v="0"/>
    <n v="90"/>
    <n v="0.59"/>
    <n v="112"/>
    <n v="17"/>
    <n v="50"/>
    <n v="146"/>
    <n v="71"/>
    <n v="82"/>
    <n v="142"/>
    <n v="78"/>
    <n v="96"/>
    <n v="80"/>
    <n v="91"/>
    <n v="78"/>
    <n v="40"/>
    <n v="53"/>
    <n v="69"/>
    <n v="642"/>
    <n v="217"/>
    <n v="29"/>
    <n v="120"/>
    <n v="181"/>
    <n v="22"/>
    <n v="165"/>
    <n v="49"/>
    <n v="71"/>
    <n v="57"/>
  </r>
  <r>
    <x v="2"/>
    <x v="2"/>
    <x v="2"/>
    <x v="1"/>
    <n v="64"/>
    <n v="0.71"/>
    <n v="81"/>
    <n v="13"/>
    <n v="93"/>
    <n v="89"/>
    <n v="94"/>
    <n v="66"/>
    <n v="61"/>
    <n v="40"/>
    <n v="120"/>
    <n v="50"/>
    <n v="113"/>
    <n v="114"/>
    <n v="113"/>
    <n v="116"/>
    <n v="18"/>
    <n v="50"/>
    <n v="49"/>
    <n v="166"/>
    <n v="138"/>
    <n v="127"/>
    <n v="55"/>
    <n v="32"/>
    <n v="120"/>
    <n v="29"/>
    <n v="163"/>
  </r>
  <r>
    <x v="2"/>
    <x v="2"/>
    <x v="2"/>
    <x v="2"/>
    <n v="30"/>
    <n v="0.55000000000000004"/>
    <n v="38"/>
    <n v="14"/>
    <n v="44"/>
    <n v="84"/>
    <n v="68"/>
    <n v="33"/>
    <n v="72"/>
    <n v="112"/>
    <n v="47"/>
    <n v="85"/>
    <n v="98"/>
    <n v="143"/>
    <n v="100"/>
    <n v="100"/>
    <n v="72"/>
    <n v="385"/>
    <n v="108"/>
    <n v="389"/>
    <n v="20"/>
    <n v="83"/>
    <n v="73"/>
    <n v="55"/>
    <n v="80"/>
    <n v="282"/>
    <n v="354"/>
  </r>
  <r>
    <x v="2"/>
    <x v="2"/>
    <x v="2"/>
    <x v="3"/>
    <n v="36"/>
    <n v="0.68"/>
    <n v="46"/>
    <n v="38"/>
    <n v="51"/>
    <n v="51"/>
    <n v="59"/>
    <n v="55"/>
    <n v="63"/>
    <n v="136"/>
    <n v="36"/>
    <n v="134"/>
    <n v="101"/>
    <n v="97"/>
    <n v="33"/>
    <n v="81"/>
    <n v="99"/>
    <n v="126"/>
    <n v="133"/>
    <n v="163"/>
    <n v="179"/>
    <n v="100"/>
    <n v="303"/>
    <n v="44"/>
    <n v="156"/>
    <n v="155"/>
    <n v="47"/>
  </r>
  <r>
    <x v="2"/>
    <x v="3"/>
    <x v="3"/>
    <x v="0"/>
    <n v="58"/>
    <n v="0.8"/>
    <n v="73"/>
    <n v="28"/>
    <n v="108"/>
    <n v="67"/>
    <n v="108"/>
    <n v="75"/>
    <n v="64"/>
    <n v="50"/>
    <n v="79"/>
    <n v="29"/>
    <n v="123"/>
    <n v="96"/>
    <n v="77"/>
    <n v="40"/>
    <n v="58"/>
    <n v="13"/>
    <n v="120"/>
    <n v="74"/>
    <n v="220"/>
    <n v="259"/>
    <n v="320"/>
    <n v="65"/>
    <n v="335"/>
    <n v="81"/>
    <n v="10"/>
  </r>
  <r>
    <x v="2"/>
    <x v="3"/>
    <x v="3"/>
    <x v="1"/>
    <n v="31"/>
    <n v="0.46"/>
    <n v="39"/>
    <n v="47"/>
    <n v="83"/>
    <n v="28"/>
    <n v="69"/>
    <n v="94"/>
    <n v="54"/>
    <n v="47"/>
    <n v="52"/>
    <n v="43"/>
    <n v="92"/>
    <n v="74"/>
    <n v="48"/>
    <n v="143"/>
    <n v="81"/>
    <n v="50"/>
    <n v="104"/>
    <n v="111"/>
    <n v="612"/>
    <n v="147"/>
    <n v="330"/>
    <n v="84"/>
    <n v="373"/>
    <n v="192"/>
    <n v="147"/>
  </r>
  <r>
    <x v="2"/>
    <x v="3"/>
    <x v="3"/>
    <x v="2"/>
    <n v="54"/>
    <n v="0.8"/>
    <n v="68"/>
    <n v="51"/>
    <n v="40"/>
    <n v="71"/>
    <n v="63"/>
    <n v="89"/>
    <n v="102"/>
    <n v="56"/>
    <n v="74"/>
    <n v="121"/>
    <n v="53"/>
    <n v="95"/>
    <n v="34"/>
    <n v="86"/>
    <n v="86"/>
    <n v="64"/>
    <n v="84"/>
    <n v="255"/>
    <n v="49"/>
    <n v="48"/>
    <n v="20"/>
    <n v="115"/>
    <n v="292"/>
    <n v="44"/>
    <n v="133"/>
  </r>
  <r>
    <x v="2"/>
    <x v="3"/>
    <x v="3"/>
    <x v="3"/>
    <n v="51"/>
    <n v="0.72"/>
    <n v="64"/>
    <n v="34"/>
    <n v="79"/>
    <n v="56"/>
    <n v="96"/>
    <n v="95"/>
    <n v="82"/>
    <n v="79"/>
    <n v="56"/>
    <n v="34"/>
    <n v="133"/>
    <n v="64"/>
    <n v="142"/>
    <n v="82"/>
    <n v="38"/>
    <n v="127"/>
    <n v="54"/>
    <n v="408"/>
    <n v="90"/>
    <n v="36"/>
    <n v="27"/>
    <n v="248"/>
    <n v="199"/>
    <n v="448"/>
    <n v="397"/>
  </r>
  <r>
    <x v="2"/>
    <x v="4"/>
    <x v="4"/>
    <x v="0"/>
    <n v="42"/>
    <n v="0.67"/>
    <n v="52"/>
    <n v="39"/>
    <n v="85"/>
    <n v="55"/>
    <n v="97"/>
    <n v="61"/>
    <n v="138"/>
    <n v="38"/>
    <n v="56"/>
    <n v="81"/>
    <n v="100"/>
    <n v="49"/>
    <n v="70"/>
    <n v="46"/>
    <n v="102"/>
    <n v="197"/>
    <n v="69"/>
    <n v="66"/>
    <n v="158"/>
    <n v="84"/>
    <n v="110"/>
    <n v="104"/>
    <n v="182"/>
    <n v="217"/>
    <n v="115"/>
  </r>
  <r>
    <x v="2"/>
    <x v="4"/>
    <x v="4"/>
    <x v="1"/>
    <n v="44"/>
    <n v="0.46"/>
    <n v="55"/>
    <n v="13"/>
    <n v="116"/>
    <n v="65"/>
    <n v="107"/>
    <n v="37"/>
    <n v="66"/>
    <n v="84"/>
    <n v="111"/>
    <n v="37"/>
    <n v="113"/>
    <n v="67"/>
    <n v="36"/>
    <n v="38"/>
    <n v="65"/>
    <n v="202"/>
    <n v="82"/>
    <n v="207"/>
    <n v="17"/>
    <n v="28"/>
    <n v="157"/>
    <n v="120"/>
    <n v="76"/>
    <n v="187"/>
    <n v="252"/>
  </r>
  <r>
    <x v="2"/>
    <x v="4"/>
    <x v="4"/>
    <x v="2"/>
    <n v="52"/>
    <n v="0.51"/>
    <n v="65"/>
    <n v="20"/>
    <n v="95"/>
    <n v="108"/>
    <n v="54"/>
    <n v="37"/>
    <n v="85"/>
    <n v="130"/>
    <n v="140"/>
    <n v="97"/>
    <n v="108"/>
    <n v="54"/>
    <n v="77"/>
    <n v="75"/>
    <n v="87"/>
    <n v="219"/>
    <n v="53"/>
    <n v="232"/>
    <n v="240"/>
    <n v="376"/>
    <n v="34"/>
    <n v="136"/>
    <n v="33"/>
    <n v="173"/>
    <n v="94"/>
  </r>
  <r>
    <x v="2"/>
    <x v="4"/>
    <x v="4"/>
    <x v="3"/>
    <n v="25"/>
    <n v="0.59"/>
    <n v="31"/>
    <n v="24"/>
    <n v="60"/>
    <n v="94"/>
    <n v="96"/>
    <n v="51"/>
    <n v="69"/>
    <n v="68"/>
    <n v="82"/>
    <n v="55"/>
    <n v="40"/>
    <n v="92"/>
    <n v="64"/>
    <n v="123"/>
    <n v="14"/>
    <n v="126"/>
    <n v="113"/>
    <n v="38"/>
    <n v="35"/>
    <n v="60"/>
    <n v="86"/>
    <n v="109"/>
    <n v="99"/>
    <n v="167"/>
    <n v="308"/>
  </r>
  <r>
    <x v="2"/>
    <x v="5"/>
    <x v="5"/>
    <x v="0"/>
    <n v="25"/>
    <n v="0.48"/>
    <n v="31"/>
    <n v="51"/>
    <n v="72"/>
    <n v="63"/>
    <n v="41"/>
    <n v="67"/>
    <n v="112"/>
    <n v="80"/>
    <n v="149"/>
    <n v="116"/>
    <n v="88"/>
    <n v="43"/>
    <n v="52"/>
    <n v="51"/>
    <n v="18"/>
    <n v="38"/>
    <n v="85"/>
    <n v="146"/>
    <n v="133"/>
    <n v="464"/>
    <n v="36"/>
    <n v="304"/>
    <n v="138"/>
    <n v="20"/>
    <n v="47"/>
  </r>
  <r>
    <x v="2"/>
    <x v="5"/>
    <x v="5"/>
    <x v="1"/>
    <n v="35"/>
    <n v="0.75"/>
    <n v="43"/>
    <n v="51"/>
    <n v="82"/>
    <n v="55"/>
    <n v="70"/>
    <n v="78"/>
    <n v="63"/>
    <n v="82"/>
    <n v="55"/>
    <n v="71"/>
    <n v="77"/>
    <n v="86"/>
    <n v="53"/>
    <n v="86"/>
    <n v="45"/>
    <n v="34"/>
    <n v="36"/>
    <n v="157"/>
    <n v="44"/>
    <n v="27"/>
    <n v="122"/>
    <n v="172"/>
    <n v="118"/>
    <n v="171"/>
    <n v="20"/>
  </r>
  <r>
    <x v="2"/>
    <x v="5"/>
    <x v="5"/>
    <x v="2"/>
    <n v="35"/>
    <n v="0.74"/>
    <n v="43"/>
    <n v="20"/>
    <n v="70"/>
    <n v="115"/>
    <n v="64"/>
    <n v="77"/>
    <n v="146"/>
    <n v="99"/>
    <n v="67"/>
    <n v="74"/>
    <n v="68"/>
    <n v="125"/>
    <n v="111"/>
    <n v="125"/>
    <n v="87"/>
    <n v="362"/>
    <n v="81"/>
    <n v="170"/>
    <n v="177"/>
    <n v="91"/>
    <n v="153"/>
    <n v="100"/>
    <n v="115"/>
    <n v="106"/>
    <n v="22"/>
  </r>
  <r>
    <x v="2"/>
    <x v="5"/>
    <x v="5"/>
    <x v="3"/>
    <n v="59"/>
    <n v="0.59"/>
    <n v="74"/>
    <n v="32"/>
    <n v="71"/>
    <n v="66"/>
    <n v="86"/>
    <n v="38"/>
    <n v="84"/>
    <n v="48"/>
    <n v="90"/>
    <n v="100"/>
    <n v="61"/>
    <n v="92"/>
    <n v="56"/>
    <n v="94"/>
    <n v="28"/>
    <n v="223"/>
    <n v="564"/>
    <n v="33"/>
    <n v="102"/>
    <n v="70"/>
    <n v="253"/>
    <n v="25"/>
    <n v="245"/>
    <n v="231"/>
    <n v="357"/>
  </r>
  <r>
    <x v="2"/>
    <x v="6"/>
    <x v="6"/>
    <x v="0"/>
    <n v="83"/>
    <n v="0.7"/>
    <n v="104"/>
    <n v="19"/>
    <n v="47"/>
    <n v="78"/>
    <n v="48"/>
    <n v="98"/>
    <n v="40"/>
    <n v="103"/>
    <n v="51"/>
    <n v="131"/>
    <n v="56"/>
    <n v="88"/>
    <n v="107"/>
    <n v="75"/>
    <n v="25"/>
    <n v="63"/>
    <n v="5"/>
    <n v="29"/>
    <n v="84"/>
    <n v="173"/>
    <n v="71"/>
    <n v="338"/>
    <n v="22"/>
    <n v="34"/>
    <n v="308"/>
  </r>
  <r>
    <x v="2"/>
    <x v="6"/>
    <x v="6"/>
    <x v="1"/>
    <n v="46"/>
    <n v="0.49"/>
    <n v="58"/>
    <n v="13"/>
    <n v="40"/>
    <n v="75"/>
    <n v="74"/>
    <n v="76"/>
    <n v="84"/>
    <n v="52"/>
    <n v="59"/>
    <n v="53"/>
    <n v="112"/>
    <n v="63"/>
    <n v="64"/>
    <n v="66"/>
    <n v="26"/>
    <n v="53"/>
    <n v="37"/>
    <n v="7"/>
    <n v="28"/>
    <n v="43"/>
    <n v="236"/>
    <n v="122"/>
    <n v="70"/>
    <n v="44"/>
    <n v="61"/>
  </r>
  <r>
    <x v="2"/>
    <x v="6"/>
    <x v="6"/>
    <x v="2"/>
    <n v="55"/>
    <n v="0.68"/>
    <n v="69"/>
    <n v="9"/>
    <n v="48"/>
    <n v="58"/>
    <n v="72"/>
    <n v="67"/>
    <n v="52"/>
    <n v="36"/>
    <n v="48"/>
    <n v="84"/>
    <n v="58"/>
    <n v="107"/>
    <n v="67"/>
    <n v="38"/>
    <n v="81"/>
    <n v="136"/>
    <n v="16"/>
    <n v="309"/>
    <n v="18"/>
    <n v="145"/>
    <n v="157"/>
    <n v="143"/>
    <n v="132"/>
    <n v="105"/>
    <n v="237"/>
  </r>
  <r>
    <x v="2"/>
    <x v="6"/>
    <x v="6"/>
    <x v="3"/>
    <n v="49"/>
    <n v="0.49"/>
    <n v="61"/>
    <n v="31"/>
    <n v="73"/>
    <n v="48"/>
    <n v="100"/>
    <n v="50"/>
    <n v="64"/>
    <n v="56"/>
    <n v="66"/>
    <n v="127"/>
    <n v="96"/>
    <n v="100"/>
    <n v="71"/>
    <n v="36"/>
    <n v="106"/>
    <n v="11"/>
    <n v="291"/>
    <n v="20"/>
    <n v="77"/>
    <n v="26"/>
    <n v="365"/>
    <n v="126"/>
    <n v="108"/>
    <n v="219"/>
    <n v="10"/>
  </r>
  <r>
    <x v="2"/>
    <x v="7"/>
    <x v="7"/>
    <x v="0"/>
    <n v="111"/>
    <n v="0.47"/>
    <n v="139"/>
    <n v="44"/>
    <n v="83"/>
    <n v="75"/>
    <n v="81"/>
    <n v="52"/>
    <n v="70"/>
    <n v="72"/>
    <n v="112"/>
    <n v="52"/>
    <n v="98"/>
    <n v="78"/>
    <n v="137"/>
    <n v="91"/>
    <n v="73"/>
    <n v="57"/>
    <n v="137"/>
    <n v="369"/>
    <n v="227"/>
    <n v="149"/>
    <n v="75"/>
    <n v="11"/>
    <n v="497"/>
    <n v="336"/>
    <n v="351"/>
  </r>
  <r>
    <x v="2"/>
    <x v="7"/>
    <x v="7"/>
    <x v="1"/>
    <n v="99"/>
    <n v="0.5"/>
    <n v="123"/>
    <n v="44"/>
    <n v="28"/>
    <n v="82"/>
    <n v="72"/>
    <n v="132"/>
    <n v="40"/>
    <n v="86"/>
    <n v="97"/>
    <n v="112"/>
    <n v="62"/>
    <n v="63"/>
    <n v="93"/>
    <n v="65"/>
    <n v="71"/>
    <n v="37"/>
    <n v="102"/>
    <n v="166"/>
    <n v="56"/>
    <n v="116"/>
    <n v="149"/>
    <n v="153"/>
    <n v="202"/>
    <n v="41"/>
    <n v="112"/>
  </r>
  <r>
    <x v="2"/>
    <x v="7"/>
    <x v="7"/>
    <x v="2"/>
    <n v="98"/>
    <n v="0.69"/>
    <n v="122"/>
    <n v="34"/>
    <n v="119"/>
    <n v="100"/>
    <n v="102"/>
    <n v="35"/>
    <n v="150"/>
    <n v="27"/>
    <n v="78"/>
    <n v="114"/>
    <n v="95"/>
    <n v="46"/>
    <n v="57"/>
    <n v="96"/>
    <n v="84"/>
    <n v="232"/>
    <n v="279"/>
    <n v="214"/>
    <n v="20"/>
    <n v="366"/>
    <n v="136"/>
    <n v="235"/>
    <n v="149"/>
    <n v="25"/>
    <n v="456"/>
  </r>
  <r>
    <x v="2"/>
    <x v="7"/>
    <x v="7"/>
    <x v="3"/>
    <n v="38"/>
    <n v="0.57999999999999996"/>
    <n v="48"/>
    <n v="16"/>
    <n v="49"/>
    <n v="102"/>
    <n v="49"/>
    <n v="81"/>
    <n v="118"/>
    <n v="80"/>
    <n v="66"/>
    <n v="59"/>
    <n v="86"/>
    <n v="72"/>
    <n v="43"/>
    <n v="75"/>
    <n v="103"/>
    <n v="112"/>
    <n v="66"/>
    <n v="48"/>
    <n v="88"/>
    <n v="143"/>
    <n v="170"/>
    <n v="74"/>
    <n v="189"/>
    <n v="81"/>
    <n v="114"/>
  </r>
  <r>
    <x v="2"/>
    <x v="8"/>
    <x v="8"/>
    <x v="0"/>
    <n v="102"/>
    <n v="0.48"/>
    <n v="128"/>
    <n v="51"/>
    <n v="69"/>
    <n v="98"/>
    <n v="38"/>
    <n v="58"/>
    <n v="42"/>
    <n v="89"/>
    <n v="84"/>
    <n v="106"/>
    <n v="60"/>
    <n v="59"/>
    <n v="74"/>
    <n v="104"/>
    <n v="62"/>
    <n v="11"/>
    <n v="198"/>
    <n v="38"/>
    <n v="68"/>
    <n v="20"/>
    <n v="296"/>
    <n v="81"/>
    <n v="196"/>
    <n v="152"/>
    <n v="62"/>
  </r>
  <r>
    <x v="2"/>
    <x v="8"/>
    <x v="8"/>
    <x v="1"/>
    <n v="28"/>
    <n v="0.69"/>
    <n v="36"/>
    <n v="34"/>
    <n v="65"/>
    <n v="78"/>
    <n v="80"/>
    <n v="88"/>
    <n v="57"/>
    <n v="94"/>
    <n v="150"/>
    <n v="84"/>
    <n v="52"/>
    <n v="53"/>
    <n v="83"/>
    <n v="56"/>
    <n v="61"/>
    <n v="15"/>
    <n v="110"/>
    <n v="128"/>
    <n v="118"/>
    <n v="63"/>
    <n v="14"/>
    <n v="83"/>
    <n v="246"/>
    <n v="248"/>
    <n v="8"/>
  </r>
  <r>
    <x v="2"/>
    <x v="8"/>
    <x v="8"/>
    <x v="2"/>
    <n v="48"/>
    <n v="0.54"/>
    <n v="60"/>
    <n v="14"/>
    <n v="67"/>
    <n v="100"/>
    <n v="77"/>
    <n v="86"/>
    <n v="89"/>
    <n v="85"/>
    <n v="48"/>
    <n v="62"/>
    <n v="108"/>
    <n v="62"/>
    <n v="145"/>
    <n v="145"/>
    <n v="71"/>
    <n v="362"/>
    <n v="81"/>
    <n v="588"/>
    <n v="62"/>
    <n v="65"/>
    <n v="7"/>
    <n v="3"/>
    <n v="195"/>
    <n v="68"/>
    <n v="7"/>
  </r>
  <r>
    <x v="2"/>
    <x v="8"/>
    <x v="8"/>
    <x v="3"/>
    <n v="66"/>
    <n v="0.46"/>
    <n v="83"/>
    <n v="41"/>
    <n v="125"/>
    <n v="110"/>
    <n v="70"/>
    <n v="36"/>
    <n v="113"/>
    <n v="38"/>
    <n v="84"/>
    <n v="85"/>
    <n v="39"/>
    <n v="50"/>
    <n v="126"/>
    <n v="79"/>
    <n v="83"/>
    <n v="56"/>
    <n v="135"/>
    <n v="80"/>
    <n v="93"/>
    <n v="44"/>
    <n v="352"/>
    <n v="61"/>
    <n v="123"/>
    <n v="20"/>
    <n v="82"/>
  </r>
  <r>
    <x v="2"/>
    <x v="9"/>
    <x v="9"/>
    <x v="0"/>
    <n v="97"/>
    <n v="0.57999999999999996"/>
    <n v="121"/>
    <n v="53"/>
    <n v="65"/>
    <n v="51"/>
    <n v="69"/>
    <n v="86"/>
    <n v="45"/>
    <n v="88"/>
    <n v="49"/>
    <n v="104"/>
    <n v="92"/>
    <n v="65"/>
    <n v="121"/>
    <n v="130"/>
    <n v="113"/>
    <n v="276"/>
    <n v="458"/>
    <n v="300"/>
    <n v="128"/>
    <n v="291"/>
    <n v="20"/>
    <n v="99"/>
    <n v="22"/>
    <n v="212"/>
    <n v="135"/>
  </r>
  <r>
    <x v="2"/>
    <x v="9"/>
    <x v="9"/>
    <x v="1"/>
    <n v="95"/>
    <n v="0.53"/>
    <n v="119"/>
    <n v="23"/>
    <n v="57"/>
    <n v="101"/>
    <n v="85"/>
    <n v="47"/>
    <n v="103"/>
    <n v="116"/>
    <n v="51"/>
    <n v="92"/>
    <n v="62"/>
    <n v="57"/>
    <n v="71"/>
    <n v="54"/>
    <n v="93"/>
    <n v="174"/>
    <n v="12"/>
    <n v="308"/>
    <n v="338"/>
    <n v="46"/>
    <n v="125"/>
    <n v="131"/>
    <n v="79"/>
    <n v="32"/>
    <n v="8"/>
  </r>
  <r>
    <x v="2"/>
    <x v="9"/>
    <x v="9"/>
    <x v="2"/>
    <n v="106"/>
    <n v="0.77"/>
    <n v="132"/>
    <n v="14"/>
    <n v="64"/>
    <n v="70"/>
    <n v="76"/>
    <n v="26"/>
    <n v="87"/>
    <n v="108"/>
    <n v="101"/>
    <n v="66"/>
    <n v="53"/>
    <n v="102"/>
    <n v="70"/>
    <n v="47"/>
    <n v="55"/>
    <n v="61"/>
    <n v="88"/>
    <n v="55"/>
    <n v="242"/>
    <n v="127"/>
    <n v="220"/>
    <n v="133"/>
    <n v="96"/>
    <n v="61"/>
    <n v="67"/>
  </r>
  <r>
    <x v="2"/>
    <x v="9"/>
    <x v="9"/>
    <x v="3"/>
    <n v="110"/>
    <n v="0.55000000000000004"/>
    <n v="138"/>
    <n v="12"/>
    <n v="38"/>
    <n v="42"/>
    <n v="107"/>
    <n v="65"/>
    <n v="71"/>
    <n v="62"/>
    <n v="46"/>
    <n v="133"/>
    <n v="33"/>
    <n v="107"/>
    <n v="47"/>
    <n v="84"/>
    <n v="101"/>
    <n v="165"/>
    <n v="18"/>
    <n v="156"/>
    <n v="117"/>
    <n v="67"/>
    <n v="73"/>
    <n v="165"/>
    <n v="167"/>
    <n v="146"/>
    <n v="215"/>
  </r>
  <r>
    <x v="2"/>
    <x v="10"/>
    <x v="10"/>
    <x v="0"/>
    <n v="33"/>
    <n v="0.68"/>
    <n v="41"/>
    <n v="47"/>
    <n v="68"/>
    <n v="98"/>
    <n v="112"/>
    <n v="114"/>
    <n v="129"/>
    <n v="39"/>
    <n v="61"/>
    <n v="102"/>
    <n v="65"/>
    <n v="50"/>
    <n v="68"/>
    <n v="47"/>
    <n v="112"/>
    <n v="132"/>
    <n v="188"/>
    <n v="43"/>
    <n v="82"/>
    <n v="281"/>
    <n v="87"/>
    <n v="145"/>
    <n v="275"/>
    <n v="56"/>
    <n v="284"/>
  </r>
  <r>
    <x v="2"/>
    <x v="10"/>
    <x v="10"/>
    <x v="1"/>
    <n v="46"/>
    <n v="0.45"/>
    <n v="58"/>
    <n v="27"/>
    <n v="42"/>
    <n v="65"/>
    <n v="100"/>
    <n v="56"/>
    <n v="132"/>
    <n v="87"/>
    <n v="79"/>
    <n v="68"/>
    <n v="32"/>
    <n v="53"/>
    <n v="91"/>
    <n v="31"/>
    <n v="66"/>
    <n v="24"/>
    <n v="65"/>
    <n v="622"/>
    <n v="60"/>
    <n v="28"/>
    <n v="79"/>
    <n v="83"/>
    <n v="100"/>
    <n v="53"/>
    <n v="38"/>
  </r>
  <r>
    <x v="2"/>
    <x v="10"/>
    <x v="10"/>
    <x v="2"/>
    <n v="54"/>
    <n v="0.45"/>
    <n v="68"/>
    <n v="48"/>
    <n v="91"/>
    <n v="115"/>
    <n v="54"/>
    <n v="52"/>
    <n v="113"/>
    <n v="33"/>
    <n v="96"/>
    <n v="37"/>
    <n v="61"/>
    <n v="111"/>
    <n v="101"/>
    <n v="125"/>
    <n v="45"/>
    <n v="132"/>
    <n v="60"/>
    <n v="180"/>
    <n v="162"/>
    <n v="198"/>
    <n v="29"/>
    <n v="53"/>
    <n v="31"/>
    <n v="221"/>
    <n v="160"/>
  </r>
  <r>
    <x v="2"/>
    <x v="10"/>
    <x v="10"/>
    <x v="3"/>
    <n v="81"/>
    <n v="0.46"/>
    <n v="101"/>
    <n v="49"/>
    <n v="125"/>
    <n v="82"/>
    <n v="46"/>
    <n v="104"/>
    <n v="73"/>
    <n v="53"/>
    <n v="71"/>
    <n v="76"/>
    <n v="132"/>
    <n v="123"/>
    <n v="49"/>
    <n v="46"/>
    <n v="80"/>
    <n v="68"/>
    <n v="113"/>
    <n v="750"/>
    <n v="117"/>
    <n v="46"/>
    <n v="62"/>
    <n v="96"/>
    <n v="10"/>
    <n v="62"/>
    <n v="12"/>
  </r>
  <r>
    <x v="2"/>
    <x v="11"/>
    <x v="11"/>
    <x v="0"/>
    <n v="46"/>
    <n v="0.68"/>
    <n v="58"/>
    <n v="37"/>
    <n v="76"/>
    <n v="93"/>
    <n v="146"/>
    <n v="105"/>
    <n v="72"/>
    <n v="63"/>
    <n v="66"/>
    <n v="121"/>
    <n v="113"/>
    <n v="37"/>
    <n v="65"/>
    <n v="90"/>
    <n v="29"/>
    <n v="414"/>
    <n v="69"/>
    <n v="105"/>
    <n v="132"/>
    <n v="102"/>
    <n v="130"/>
    <n v="200"/>
    <n v="30"/>
    <n v="165"/>
    <n v="56"/>
  </r>
  <r>
    <x v="2"/>
    <x v="11"/>
    <x v="11"/>
    <x v="1"/>
    <n v="102"/>
    <n v="0.52"/>
    <n v="128"/>
    <n v="17"/>
    <n v="62"/>
    <n v="69"/>
    <n v="84"/>
    <n v="49"/>
    <n v="73"/>
    <n v="105"/>
    <n v="53"/>
    <n v="80"/>
    <n v="55"/>
    <n v="96"/>
    <n v="43"/>
    <n v="47"/>
    <n v="119"/>
    <n v="169"/>
    <n v="37"/>
    <n v="42"/>
    <n v="492"/>
    <n v="174"/>
    <n v="5"/>
    <n v="125"/>
    <n v="5"/>
    <n v="210"/>
    <n v="224"/>
  </r>
  <r>
    <x v="2"/>
    <x v="11"/>
    <x v="11"/>
    <x v="2"/>
    <n v="89"/>
    <n v="0.68"/>
    <n v="111"/>
    <n v="44"/>
    <n v="63"/>
    <n v="62"/>
    <n v="89"/>
    <n v="90"/>
    <n v="60"/>
    <n v="105"/>
    <n v="91"/>
    <n v="31"/>
    <n v="101"/>
    <n v="112"/>
    <n v="47"/>
    <n v="104"/>
    <n v="167"/>
    <n v="187"/>
    <n v="30"/>
    <n v="209"/>
    <n v="185"/>
    <n v="70"/>
    <n v="146"/>
    <n v="99"/>
    <n v="226"/>
    <n v="28"/>
    <n v="139"/>
  </r>
  <r>
    <x v="2"/>
    <x v="11"/>
    <x v="11"/>
    <x v="3"/>
    <n v="60"/>
    <n v="0.5"/>
    <n v="75"/>
    <n v="55"/>
    <n v="51"/>
    <n v="44"/>
    <n v="116"/>
    <n v="84"/>
    <n v="111"/>
    <n v="108"/>
    <n v="91"/>
    <n v="89"/>
    <n v="72"/>
    <n v="90"/>
    <n v="110"/>
    <n v="85"/>
    <n v="107"/>
    <n v="108"/>
    <n v="80"/>
    <n v="256"/>
    <n v="138"/>
    <n v="106"/>
    <n v="169"/>
    <n v="303"/>
    <n v="7"/>
    <n v="310"/>
    <n v="341"/>
  </r>
  <r>
    <x v="3"/>
    <x v="0"/>
    <x v="0"/>
    <x v="0"/>
    <n v="21"/>
    <n v="0.55000000000000004"/>
    <n v="99"/>
    <n v="16"/>
    <n v="74"/>
    <n v="79"/>
    <n v="54"/>
    <n v="112"/>
    <n v="45"/>
    <n v="52"/>
    <n v="65"/>
    <n v="51"/>
    <n v="79"/>
    <n v="98"/>
    <n v="47"/>
    <n v="32"/>
    <n v="62"/>
    <n v="69"/>
    <n v="182"/>
    <n v="885"/>
    <n v="60"/>
    <n v="83"/>
    <n v="732"/>
    <n v="50"/>
    <n v="18"/>
    <n v="55"/>
    <n v="20"/>
  </r>
  <r>
    <x v="3"/>
    <x v="0"/>
    <x v="0"/>
    <x v="1"/>
    <n v="46"/>
    <n v="0.31"/>
    <n v="53"/>
    <n v="16"/>
    <n v="73"/>
    <n v="66"/>
    <n v="35"/>
    <n v="122"/>
    <n v="96"/>
    <n v="49"/>
    <n v="94"/>
    <n v="81"/>
    <n v="62"/>
    <n v="77"/>
    <n v="124"/>
    <n v="85"/>
    <n v="37"/>
    <n v="306"/>
    <n v="62"/>
    <n v="144"/>
    <n v="196"/>
    <n v="148"/>
    <n v="113"/>
    <n v="48"/>
    <n v="44"/>
    <n v="240"/>
    <n v="98"/>
  </r>
  <r>
    <x v="3"/>
    <x v="0"/>
    <x v="0"/>
    <x v="2"/>
    <n v="37"/>
    <n v="0.72"/>
    <n v="77"/>
    <n v="33"/>
    <n v="94"/>
    <n v="106"/>
    <n v="136"/>
    <n v="77"/>
    <n v="63"/>
    <n v="100"/>
    <n v="65"/>
    <n v="91"/>
    <n v="66"/>
    <n v="69"/>
    <n v="91"/>
    <n v="76"/>
    <n v="79"/>
    <n v="224"/>
    <n v="217"/>
    <n v="20"/>
    <n v="485"/>
    <n v="166"/>
    <n v="54"/>
    <n v="78"/>
    <n v="232"/>
    <n v="172"/>
    <n v="165"/>
  </r>
  <r>
    <x v="3"/>
    <x v="0"/>
    <x v="0"/>
    <x v="3"/>
    <n v="31"/>
    <n v="0.56999999999999995"/>
    <n v="77"/>
    <n v="25"/>
    <n v="82"/>
    <n v="144"/>
    <n v="110"/>
    <n v="83"/>
    <n v="83"/>
    <n v="101"/>
    <n v="85"/>
    <n v="57"/>
    <n v="56"/>
    <n v="86"/>
    <n v="45"/>
    <n v="95"/>
    <n v="63"/>
    <n v="130"/>
    <n v="355"/>
    <n v="670"/>
    <n v="45"/>
    <n v="180"/>
    <n v="74"/>
    <n v="92"/>
    <n v="228"/>
    <n v="93"/>
    <n v="138"/>
  </r>
  <r>
    <x v="3"/>
    <x v="1"/>
    <x v="1"/>
    <x v="0"/>
    <n v="49"/>
    <n v="0.39"/>
    <n v="23"/>
    <n v="26"/>
    <n v="78"/>
    <n v="87"/>
    <n v="60"/>
    <n v="70"/>
    <n v="56"/>
    <n v="72"/>
    <n v="101"/>
    <n v="64"/>
    <n v="127"/>
    <n v="81"/>
    <n v="91"/>
    <n v="43"/>
    <n v="113"/>
    <n v="235"/>
    <n v="61"/>
    <n v="58"/>
    <n v="112"/>
    <n v="208"/>
    <n v="42"/>
    <n v="46"/>
    <n v="167"/>
    <n v="348"/>
    <n v="224"/>
  </r>
  <r>
    <x v="3"/>
    <x v="1"/>
    <x v="1"/>
    <x v="1"/>
    <n v="22"/>
    <n v="0.55000000000000004"/>
    <n v="86"/>
    <n v="32"/>
    <n v="59"/>
    <n v="83"/>
    <n v="147"/>
    <n v="107"/>
    <n v="79"/>
    <n v="39"/>
    <n v="67"/>
    <n v="104"/>
    <n v="86"/>
    <n v="95"/>
    <n v="92"/>
    <n v="52"/>
    <n v="32"/>
    <n v="85"/>
    <n v="86"/>
    <n v="35"/>
    <n v="46"/>
    <n v="43"/>
    <n v="163"/>
    <n v="124"/>
    <n v="62"/>
    <n v="295"/>
    <n v="205"/>
  </r>
  <r>
    <x v="3"/>
    <x v="1"/>
    <x v="1"/>
    <x v="2"/>
    <n v="44"/>
    <n v="0.66"/>
    <n v="70"/>
    <n v="27"/>
    <n v="62"/>
    <n v="69"/>
    <n v="39"/>
    <n v="126"/>
    <n v="50"/>
    <n v="148"/>
    <n v="111"/>
    <n v="56"/>
    <n v="48"/>
    <n v="89"/>
    <n v="34"/>
    <n v="28"/>
    <n v="116"/>
    <n v="24"/>
    <n v="327"/>
    <n v="172"/>
    <n v="266"/>
    <n v="189"/>
    <n v="505"/>
    <n v="204"/>
    <n v="12"/>
    <n v="339"/>
    <n v="27"/>
  </r>
  <r>
    <x v="3"/>
    <x v="1"/>
    <x v="1"/>
    <x v="3"/>
    <n v="63"/>
    <n v="0.43"/>
    <n v="108"/>
    <n v="31"/>
    <n v="95"/>
    <n v="74"/>
    <n v="48"/>
    <n v="38"/>
    <n v="57"/>
    <n v="86"/>
    <n v="40"/>
    <n v="72"/>
    <n v="105"/>
    <n v="71"/>
    <n v="131"/>
    <n v="74"/>
    <n v="75"/>
    <n v="55"/>
    <n v="897"/>
    <n v="20"/>
    <n v="277"/>
    <n v="252"/>
    <n v="88"/>
    <n v="48"/>
    <n v="180"/>
    <n v="63"/>
    <n v="134"/>
  </r>
  <r>
    <x v="3"/>
    <x v="2"/>
    <x v="2"/>
    <x v="0"/>
    <n v="23"/>
    <n v="0.64"/>
    <n v="24"/>
    <n v="41"/>
    <n v="49"/>
    <n v="59"/>
    <n v="45"/>
    <n v="99"/>
    <n v="52"/>
    <n v="51"/>
    <n v="127"/>
    <n v="61"/>
    <n v="59"/>
    <n v="53"/>
    <n v="48"/>
    <n v="68"/>
    <n v="44"/>
    <n v="42"/>
    <n v="150"/>
    <n v="88"/>
    <n v="472"/>
    <n v="310"/>
    <n v="89"/>
    <n v="192"/>
    <n v="76"/>
    <n v="68"/>
    <n v="341"/>
  </r>
  <r>
    <x v="3"/>
    <x v="2"/>
    <x v="2"/>
    <x v="1"/>
    <n v="55"/>
    <n v="0.77"/>
    <n v="77"/>
    <n v="10"/>
    <n v="112"/>
    <n v="83"/>
    <n v="113"/>
    <n v="30"/>
    <n v="68"/>
    <n v="57"/>
    <n v="70"/>
    <n v="44"/>
    <n v="61"/>
    <n v="94"/>
    <n v="103"/>
    <n v="58"/>
    <n v="77"/>
    <n v="220"/>
    <n v="87"/>
    <n v="59"/>
    <n v="159"/>
    <n v="52"/>
    <n v="40"/>
    <n v="70"/>
    <n v="101"/>
    <n v="108"/>
    <n v="410"/>
  </r>
  <r>
    <x v="3"/>
    <x v="2"/>
    <x v="2"/>
    <x v="2"/>
    <n v="86"/>
    <n v="0.32"/>
    <n v="31"/>
    <n v="35"/>
    <n v="43"/>
    <n v="107"/>
    <n v="69"/>
    <n v="31"/>
    <n v="51"/>
    <n v="102"/>
    <n v="56"/>
    <n v="73"/>
    <n v="86"/>
    <n v="93"/>
    <n v="95"/>
    <n v="121"/>
    <n v="30"/>
    <n v="115"/>
    <n v="31"/>
    <n v="187"/>
    <n v="112"/>
    <n v="213"/>
    <n v="193"/>
    <n v="126"/>
    <n v="618"/>
    <n v="235"/>
    <n v="29"/>
  </r>
  <r>
    <x v="3"/>
    <x v="2"/>
    <x v="2"/>
    <x v="3"/>
    <n v="25"/>
    <n v="0.47"/>
    <n v="36"/>
    <n v="30"/>
    <n v="120"/>
    <n v="41"/>
    <n v="49"/>
    <n v="81"/>
    <n v="137"/>
    <n v="40"/>
    <n v="111"/>
    <n v="138"/>
    <n v="61"/>
    <n v="30"/>
    <n v="62"/>
    <n v="72"/>
    <n v="96"/>
    <n v="62"/>
    <n v="215"/>
    <n v="120"/>
    <n v="378"/>
    <n v="111"/>
    <n v="85"/>
    <n v="163"/>
    <n v="28"/>
    <n v="157"/>
    <n v="236"/>
  </r>
  <r>
    <x v="3"/>
    <x v="3"/>
    <x v="3"/>
    <x v="0"/>
    <n v="49"/>
    <n v="0.75"/>
    <n v="49"/>
    <n v="19"/>
    <n v="99"/>
    <n v="102"/>
    <n v="106"/>
    <n v="66"/>
    <n v="26"/>
    <n v="38"/>
    <n v="64"/>
    <n v="58"/>
    <n v="143"/>
    <n v="102"/>
    <n v="51"/>
    <n v="48"/>
    <n v="81"/>
    <n v="22"/>
    <n v="42"/>
    <n v="95"/>
    <n v="104"/>
    <n v="368"/>
    <n v="389"/>
    <n v="368"/>
    <n v="39"/>
    <n v="124"/>
    <n v="354"/>
  </r>
  <r>
    <x v="3"/>
    <x v="3"/>
    <x v="3"/>
    <x v="1"/>
    <n v="71"/>
    <n v="0.38"/>
    <n v="44"/>
    <n v="9"/>
    <n v="71"/>
    <n v="74"/>
    <n v="87"/>
    <n v="117"/>
    <n v="57"/>
    <n v="75"/>
    <n v="67"/>
    <n v="84"/>
    <n v="34"/>
    <n v="37"/>
    <n v="133"/>
    <n v="38"/>
    <n v="16"/>
    <n v="351"/>
    <n v="235"/>
    <n v="163"/>
    <n v="172"/>
    <n v="68"/>
    <n v="89"/>
    <n v="119"/>
    <n v="66"/>
    <n v="86"/>
    <n v="75"/>
  </r>
  <r>
    <x v="3"/>
    <x v="3"/>
    <x v="3"/>
    <x v="2"/>
    <n v="26"/>
    <n v="0.72"/>
    <n v="24"/>
    <n v="16"/>
    <n v="82"/>
    <n v="43"/>
    <n v="118"/>
    <n v="83"/>
    <n v="45"/>
    <n v="78"/>
    <n v="43"/>
    <n v="142"/>
    <n v="118"/>
    <n v="59"/>
    <n v="45"/>
    <n v="71"/>
    <n v="65"/>
    <n v="152"/>
    <n v="106"/>
    <n v="93"/>
    <n v="226"/>
    <n v="40"/>
    <n v="287"/>
    <n v="66"/>
    <n v="64"/>
    <n v="26"/>
    <n v="97"/>
  </r>
  <r>
    <x v="3"/>
    <x v="3"/>
    <x v="3"/>
    <x v="3"/>
    <n v="41"/>
    <n v="0.46"/>
    <n v="48"/>
    <n v="19"/>
    <n v="44"/>
    <n v="119"/>
    <n v="50"/>
    <n v="37"/>
    <n v="73"/>
    <n v="75"/>
    <n v="80"/>
    <n v="49"/>
    <n v="88"/>
    <n v="49"/>
    <n v="52"/>
    <n v="122"/>
    <n v="91"/>
    <n v="9"/>
    <n v="38"/>
    <n v="221"/>
    <n v="112"/>
    <n v="31"/>
    <n v="86"/>
    <n v="64"/>
    <n v="145"/>
    <n v="97"/>
    <n v="465"/>
  </r>
  <r>
    <x v="3"/>
    <x v="4"/>
    <x v="4"/>
    <x v="0"/>
    <n v="42"/>
    <n v="0.32"/>
    <n v="59"/>
    <n v="29"/>
    <n v="50"/>
    <n v="63"/>
    <n v="89"/>
    <n v="100"/>
    <n v="55"/>
    <n v="62"/>
    <n v="62"/>
    <n v="75"/>
    <n v="47"/>
    <n v="102"/>
    <n v="72"/>
    <n v="50"/>
    <n v="68"/>
    <n v="135"/>
    <n v="37"/>
    <n v="298"/>
    <n v="111"/>
    <n v="130"/>
    <n v="63"/>
    <n v="91"/>
    <n v="91"/>
    <n v="48"/>
    <n v="143"/>
  </r>
  <r>
    <x v="3"/>
    <x v="4"/>
    <x v="4"/>
    <x v="1"/>
    <n v="55"/>
    <n v="0.35"/>
    <n v="28"/>
    <n v="33"/>
    <n v="102"/>
    <n v="31"/>
    <n v="55"/>
    <n v="131"/>
    <n v="51"/>
    <n v="69"/>
    <n v="50"/>
    <n v="56"/>
    <n v="80"/>
    <n v="86"/>
    <n v="45"/>
    <n v="51"/>
    <n v="18"/>
    <n v="314"/>
    <n v="63"/>
    <n v="312"/>
    <n v="233"/>
    <n v="63"/>
    <n v="27"/>
    <n v="185"/>
    <n v="71"/>
    <n v="110"/>
    <n v="78"/>
  </r>
  <r>
    <x v="3"/>
    <x v="4"/>
    <x v="4"/>
    <x v="2"/>
    <n v="32"/>
    <n v="0.41"/>
    <n v="61"/>
    <n v="19"/>
    <n v="127"/>
    <n v="68"/>
    <n v="46"/>
    <n v="105"/>
    <n v="43"/>
    <n v="113"/>
    <n v="89"/>
    <n v="48"/>
    <n v="59"/>
    <n v="146"/>
    <n v="63"/>
    <n v="54"/>
    <n v="52"/>
    <n v="56"/>
    <n v="375"/>
    <n v="195"/>
    <n v="30"/>
    <n v="23"/>
    <n v="596"/>
    <n v="97"/>
    <n v="69"/>
    <n v="106"/>
    <n v="238"/>
  </r>
  <r>
    <x v="3"/>
    <x v="4"/>
    <x v="4"/>
    <x v="3"/>
    <n v="32"/>
    <n v="0.32"/>
    <n v="76"/>
    <n v="41"/>
    <n v="91"/>
    <n v="42"/>
    <n v="111"/>
    <n v="113"/>
    <n v="46"/>
    <n v="94"/>
    <n v="57"/>
    <n v="36"/>
    <n v="89"/>
    <n v="110"/>
    <n v="68"/>
    <n v="75"/>
    <n v="25"/>
    <n v="400"/>
    <n v="126"/>
    <n v="440"/>
    <n v="36"/>
    <n v="169"/>
    <n v="407"/>
    <n v="217"/>
    <n v="96"/>
    <n v="115"/>
    <n v="72"/>
  </r>
  <r>
    <x v="3"/>
    <x v="5"/>
    <x v="5"/>
    <x v="0"/>
    <n v="44"/>
    <n v="0.33"/>
    <n v="60"/>
    <n v="36"/>
    <n v="112"/>
    <n v="59"/>
    <n v="133"/>
    <n v="75"/>
    <n v="95"/>
    <n v="46"/>
    <n v="52"/>
    <n v="98"/>
    <n v="56"/>
    <n v="129"/>
    <n v="112"/>
    <n v="100"/>
    <n v="49"/>
    <n v="173"/>
    <n v="325"/>
    <n v="152"/>
    <n v="73"/>
    <n v="56"/>
    <n v="113"/>
    <n v="36"/>
    <n v="260"/>
    <n v="522"/>
    <n v="132"/>
  </r>
  <r>
    <x v="3"/>
    <x v="5"/>
    <x v="5"/>
    <x v="1"/>
    <n v="42"/>
    <n v="0.32"/>
    <n v="90"/>
    <n v="10"/>
    <n v="43"/>
    <n v="79"/>
    <n v="67"/>
    <n v="107"/>
    <n v="78"/>
    <n v="100"/>
    <n v="64"/>
    <n v="79"/>
    <n v="127"/>
    <n v="49"/>
    <n v="76"/>
    <n v="93"/>
    <n v="18"/>
    <n v="103"/>
    <n v="202"/>
    <n v="78"/>
    <n v="267"/>
    <n v="165"/>
    <n v="37"/>
    <n v="171"/>
    <n v="38"/>
    <n v="85"/>
    <n v="62"/>
  </r>
  <r>
    <x v="3"/>
    <x v="5"/>
    <x v="5"/>
    <x v="2"/>
    <n v="81"/>
    <n v="0.37"/>
    <n v="91"/>
    <n v="39"/>
    <n v="59"/>
    <n v="101"/>
    <n v="71"/>
    <n v="84"/>
    <n v="51"/>
    <n v="92"/>
    <n v="127"/>
    <n v="64"/>
    <n v="45"/>
    <n v="53"/>
    <n v="42"/>
    <n v="116"/>
    <n v="64"/>
    <n v="80"/>
    <n v="121"/>
    <n v="88"/>
    <n v="209"/>
    <n v="70"/>
    <n v="316"/>
    <n v="384"/>
    <n v="218"/>
    <n v="290"/>
    <n v="226"/>
  </r>
  <r>
    <x v="3"/>
    <x v="5"/>
    <x v="5"/>
    <x v="3"/>
    <n v="46"/>
    <n v="0.52"/>
    <n v="56"/>
    <n v="8"/>
    <n v="49"/>
    <n v="91"/>
    <n v="102"/>
    <n v="71"/>
    <n v="142"/>
    <n v="119"/>
    <n v="78"/>
    <n v="37"/>
    <n v="84"/>
    <n v="34"/>
    <n v="66"/>
    <n v="94"/>
    <n v="63"/>
    <n v="36"/>
    <n v="145"/>
    <n v="116"/>
    <n v="47"/>
    <n v="43"/>
    <n v="89"/>
    <n v="70"/>
    <n v="363"/>
    <n v="306"/>
    <n v="165"/>
  </r>
  <r>
    <x v="3"/>
    <x v="6"/>
    <x v="6"/>
    <x v="0"/>
    <n v="44"/>
    <n v="0.62"/>
    <n v="58"/>
    <n v="33"/>
    <n v="119"/>
    <n v="62"/>
    <n v="130"/>
    <n v="93"/>
    <n v="100"/>
    <n v="125"/>
    <n v="91"/>
    <n v="47"/>
    <n v="142"/>
    <n v="51"/>
    <n v="74"/>
    <n v="93"/>
    <n v="50"/>
    <n v="8"/>
    <n v="706"/>
    <n v="134"/>
    <n v="210"/>
    <n v="122"/>
    <n v="196"/>
    <n v="130"/>
    <n v="141"/>
    <n v="339"/>
    <n v="6"/>
  </r>
  <r>
    <x v="3"/>
    <x v="6"/>
    <x v="6"/>
    <x v="1"/>
    <n v="72"/>
    <n v="0.51"/>
    <n v="101"/>
    <n v="14"/>
    <n v="68"/>
    <n v="49"/>
    <n v="143"/>
    <n v="113"/>
    <n v="128"/>
    <n v="98"/>
    <n v="64"/>
    <n v="88"/>
    <n v="46"/>
    <n v="92"/>
    <n v="38"/>
    <n v="58"/>
    <n v="66"/>
    <n v="170"/>
    <n v="87"/>
    <n v="130"/>
    <n v="31"/>
    <n v="174"/>
    <n v="187"/>
    <n v="81"/>
    <n v="74"/>
    <n v="64"/>
    <n v="70"/>
  </r>
  <r>
    <x v="3"/>
    <x v="6"/>
    <x v="6"/>
    <x v="2"/>
    <n v="72"/>
    <n v="0.57999999999999996"/>
    <n v="52"/>
    <n v="24"/>
    <n v="36"/>
    <n v="84"/>
    <n v="101"/>
    <n v="42"/>
    <n v="47"/>
    <n v="57"/>
    <n v="54"/>
    <n v="132"/>
    <n v="95"/>
    <n v="130"/>
    <n v="113"/>
    <n v="103"/>
    <n v="125"/>
    <n v="240"/>
    <n v="66"/>
    <n v="392"/>
    <n v="192"/>
    <n v="73"/>
    <n v="57"/>
    <n v="130"/>
    <n v="44"/>
    <n v="48"/>
    <n v="50"/>
  </r>
  <r>
    <x v="3"/>
    <x v="6"/>
    <x v="6"/>
    <x v="3"/>
    <n v="48"/>
    <n v="0.43"/>
    <n v="55"/>
    <n v="30"/>
    <n v="62"/>
    <n v="94"/>
    <n v="89"/>
    <n v="61"/>
    <n v="48"/>
    <n v="59"/>
    <n v="42"/>
    <n v="71"/>
    <n v="85"/>
    <n v="69"/>
    <n v="83"/>
    <n v="54"/>
    <n v="37"/>
    <n v="333"/>
    <n v="204"/>
    <n v="278"/>
    <n v="186"/>
    <n v="58"/>
    <n v="6"/>
    <n v="428"/>
    <n v="266"/>
    <n v="865"/>
    <n v="100"/>
  </r>
  <r>
    <x v="3"/>
    <x v="7"/>
    <x v="7"/>
    <x v="0"/>
    <n v="60"/>
    <n v="0.3"/>
    <n v="40"/>
    <n v="14"/>
    <n v="43"/>
    <n v="75"/>
    <n v="88"/>
    <n v="107"/>
    <n v="54"/>
    <n v="83"/>
    <n v="101"/>
    <n v="98"/>
    <n v="37"/>
    <n v="103"/>
    <n v="79"/>
    <n v="25"/>
    <n v="68"/>
    <n v="56"/>
    <n v="27"/>
    <n v="119"/>
    <n v="130"/>
    <n v="289"/>
    <n v="362"/>
    <n v="62"/>
    <n v="222"/>
    <n v="75"/>
    <n v="223"/>
  </r>
  <r>
    <x v="3"/>
    <x v="7"/>
    <x v="7"/>
    <x v="1"/>
    <n v="49"/>
    <n v="0.52"/>
    <n v="40"/>
    <n v="40"/>
    <n v="76"/>
    <n v="113"/>
    <n v="90"/>
    <n v="118"/>
    <n v="82"/>
    <n v="51"/>
    <n v="109"/>
    <n v="133"/>
    <n v="44"/>
    <n v="28"/>
    <n v="78"/>
    <n v="44"/>
    <n v="76"/>
    <n v="187"/>
    <n v="104"/>
    <n v="145"/>
    <n v="208"/>
    <n v="9"/>
    <n v="48"/>
    <n v="40"/>
    <n v="44"/>
    <n v="17"/>
    <n v="153"/>
  </r>
  <r>
    <x v="3"/>
    <x v="7"/>
    <x v="7"/>
    <x v="2"/>
    <n v="23"/>
    <n v="0.35"/>
    <n v="69"/>
    <n v="17"/>
    <n v="121"/>
    <n v="95"/>
    <n v="100"/>
    <n v="68"/>
    <n v="104"/>
    <n v="55"/>
    <n v="62"/>
    <n v="113"/>
    <n v="126"/>
    <n v="57"/>
    <n v="74"/>
    <n v="61"/>
    <n v="52"/>
    <n v="106"/>
    <n v="101"/>
    <n v="72"/>
    <n v="122"/>
    <n v="77"/>
    <n v="183"/>
    <n v="5"/>
    <n v="28"/>
    <n v="100"/>
    <n v="5"/>
  </r>
  <r>
    <x v="3"/>
    <x v="7"/>
    <x v="7"/>
    <x v="3"/>
    <n v="47"/>
    <n v="0.69"/>
    <n v="53"/>
    <n v="19"/>
    <n v="57"/>
    <n v="91"/>
    <n v="98"/>
    <n v="97"/>
    <n v="102"/>
    <n v="84"/>
    <n v="85"/>
    <n v="98"/>
    <n v="141"/>
    <n v="37"/>
    <n v="69"/>
    <n v="56"/>
    <n v="38"/>
    <n v="1"/>
    <n v="168"/>
    <n v="209"/>
    <n v="281"/>
    <n v="680"/>
    <n v="154"/>
    <n v="2"/>
    <n v="78"/>
    <n v="198"/>
    <n v="229"/>
  </r>
  <r>
    <x v="3"/>
    <x v="8"/>
    <x v="8"/>
    <x v="0"/>
    <n v="38"/>
    <n v="0.59"/>
    <n v="51"/>
    <n v="21"/>
    <n v="64"/>
    <n v="62"/>
    <n v="57"/>
    <n v="49"/>
    <n v="141"/>
    <n v="114"/>
    <n v="103"/>
    <n v="41"/>
    <n v="40"/>
    <n v="58"/>
    <n v="78"/>
    <n v="46"/>
    <n v="81"/>
    <n v="174"/>
    <n v="74"/>
    <n v="465"/>
    <n v="159"/>
    <n v="72"/>
    <n v="99"/>
    <n v="116"/>
    <n v="129"/>
    <n v="54"/>
    <n v="169"/>
  </r>
  <r>
    <x v="3"/>
    <x v="8"/>
    <x v="8"/>
    <x v="1"/>
    <n v="19"/>
    <n v="0.75"/>
    <n v="33"/>
    <n v="28"/>
    <n v="66"/>
    <n v="138"/>
    <n v="36"/>
    <n v="125"/>
    <n v="39"/>
    <n v="53"/>
    <n v="84"/>
    <n v="81"/>
    <n v="85"/>
    <n v="126"/>
    <n v="69"/>
    <n v="90"/>
    <n v="43"/>
    <n v="602"/>
    <n v="88"/>
    <n v="200"/>
    <n v="18"/>
    <n v="52"/>
    <n v="24"/>
    <n v="385"/>
    <n v="60"/>
    <n v="51"/>
    <n v="74"/>
  </r>
  <r>
    <x v="3"/>
    <x v="8"/>
    <x v="8"/>
    <x v="2"/>
    <n v="35"/>
    <n v="0.76"/>
    <n v="89"/>
    <n v="26"/>
    <n v="57"/>
    <n v="95"/>
    <n v="104"/>
    <n v="35"/>
    <n v="42"/>
    <n v="74"/>
    <n v="45"/>
    <n v="47"/>
    <n v="123"/>
    <n v="51"/>
    <n v="131"/>
    <n v="93"/>
    <n v="102"/>
    <n v="149"/>
    <n v="368"/>
    <n v="244"/>
    <n v="29"/>
    <n v="51"/>
    <n v="294"/>
    <n v="140"/>
    <n v="132"/>
    <n v="137"/>
    <n v="101"/>
  </r>
  <r>
    <x v="3"/>
    <x v="8"/>
    <x v="8"/>
    <x v="3"/>
    <n v="39"/>
    <n v="0.68"/>
    <n v="61"/>
    <n v="9"/>
    <n v="64"/>
    <n v="81"/>
    <n v="48"/>
    <n v="44"/>
    <n v="91"/>
    <n v="104"/>
    <n v="89"/>
    <n v="104"/>
    <n v="48"/>
    <n v="118"/>
    <n v="116"/>
    <n v="51"/>
    <n v="77"/>
    <n v="36"/>
    <n v="477"/>
    <n v="36"/>
    <n v="89"/>
    <n v="246"/>
    <n v="47"/>
    <n v="50"/>
    <n v="39"/>
    <n v="76"/>
    <n v="197"/>
  </r>
  <r>
    <x v="3"/>
    <x v="9"/>
    <x v="9"/>
    <x v="0"/>
    <n v="29"/>
    <n v="0.33"/>
    <n v="31"/>
    <n v="31"/>
    <n v="87"/>
    <n v="110"/>
    <n v="94"/>
    <n v="129"/>
    <n v="39"/>
    <n v="39"/>
    <n v="126"/>
    <n v="53"/>
    <n v="112"/>
    <n v="54"/>
    <n v="40"/>
    <n v="56"/>
    <n v="90"/>
    <n v="32"/>
    <n v="281"/>
    <n v="275"/>
    <n v="176"/>
    <n v="67"/>
    <n v="73"/>
    <n v="171"/>
    <n v="36"/>
    <n v="135"/>
    <n v="16"/>
  </r>
  <r>
    <x v="3"/>
    <x v="9"/>
    <x v="9"/>
    <x v="1"/>
    <n v="25"/>
    <n v="0.6"/>
    <n v="107"/>
    <n v="33"/>
    <n v="75"/>
    <n v="50"/>
    <n v="71"/>
    <n v="80"/>
    <n v="86"/>
    <n v="50"/>
    <n v="95"/>
    <n v="70"/>
    <n v="114"/>
    <n v="85"/>
    <n v="58"/>
    <n v="54"/>
    <n v="104"/>
    <n v="211"/>
    <n v="397"/>
    <n v="80"/>
    <n v="60"/>
    <n v="175"/>
    <n v="104"/>
    <n v="254"/>
    <n v="71"/>
    <n v="164"/>
    <n v="231"/>
  </r>
  <r>
    <x v="3"/>
    <x v="9"/>
    <x v="9"/>
    <x v="2"/>
    <n v="62"/>
    <n v="0.56999999999999995"/>
    <n v="69"/>
    <n v="30"/>
    <n v="47"/>
    <n v="101"/>
    <n v="73"/>
    <n v="51"/>
    <n v="123"/>
    <n v="90"/>
    <n v="66"/>
    <n v="53"/>
    <n v="33"/>
    <n v="89"/>
    <n v="71"/>
    <n v="54"/>
    <n v="32"/>
    <n v="22"/>
    <n v="366"/>
    <n v="140"/>
    <n v="154"/>
    <n v="16"/>
    <n v="52"/>
    <n v="22"/>
    <n v="96"/>
    <n v="480"/>
    <n v="16"/>
  </r>
  <r>
    <x v="3"/>
    <x v="9"/>
    <x v="9"/>
    <x v="3"/>
    <n v="19"/>
    <n v="0.68"/>
    <n v="29"/>
    <n v="37"/>
    <n v="48"/>
    <n v="71"/>
    <n v="56"/>
    <n v="65"/>
    <n v="57"/>
    <n v="77"/>
    <n v="83"/>
    <n v="84"/>
    <n v="90"/>
    <n v="69"/>
    <n v="60"/>
    <n v="126"/>
    <n v="73"/>
    <n v="137"/>
    <n v="156"/>
    <n v="677"/>
    <n v="77"/>
    <n v="175"/>
    <n v="10"/>
    <n v="11"/>
    <n v="44"/>
    <n v="191"/>
    <n v="80"/>
  </r>
  <r>
    <x v="3"/>
    <x v="10"/>
    <x v="10"/>
    <x v="0"/>
    <n v="86"/>
    <n v="0.66"/>
    <n v="79"/>
    <n v="29"/>
    <n v="68"/>
    <n v="60"/>
    <n v="43"/>
    <n v="55"/>
    <n v="142"/>
    <n v="49"/>
    <n v="103"/>
    <n v="96"/>
    <n v="123"/>
    <n v="110"/>
    <n v="53"/>
    <n v="79"/>
    <n v="120"/>
    <n v="212"/>
    <n v="42"/>
    <n v="253"/>
    <n v="20"/>
    <n v="88"/>
    <n v="57"/>
    <n v="55"/>
    <n v="16"/>
    <n v="143"/>
    <n v="17"/>
  </r>
  <r>
    <x v="3"/>
    <x v="10"/>
    <x v="10"/>
    <x v="1"/>
    <n v="56"/>
    <n v="0.62"/>
    <n v="55"/>
    <n v="32"/>
    <n v="86"/>
    <n v="90"/>
    <n v="65"/>
    <n v="80"/>
    <n v="82"/>
    <n v="85"/>
    <n v="113"/>
    <n v="76"/>
    <n v="113"/>
    <n v="40"/>
    <n v="38"/>
    <n v="73"/>
    <n v="121"/>
    <n v="76"/>
    <n v="85"/>
    <n v="12"/>
    <n v="105"/>
    <n v="177"/>
    <n v="93"/>
    <n v="238"/>
    <n v="207"/>
    <n v="313"/>
    <n v="127"/>
  </r>
  <r>
    <x v="3"/>
    <x v="10"/>
    <x v="10"/>
    <x v="2"/>
    <n v="69"/>
    <n v="0.38"/>
    <n v="28"/>
    <n v="42"/>
    <n v="93"/>
    <n v="62"/>
    <n v="43"/>
    <n v="100"/>
    <n v="101"/>
    <n v="114"/>
    <n v="93"/>
    <n v="72"/>
    <n v="66"/>
    <n v="44"/>
    <n v="59"/>
    <n v="70"/>
    <n v="70"/>
    <n v="231"/>
    <n v="54"/>
    <n v="93"/>
    <n v="157"/>
    <n v="468"/>
    <n v="119"/>
    <n v="281"/>
    <n v="130"/>
    <n v="10"/>
    <n v="77"/>
  </r>
  <r>
    <x v="3"/>
    <x v="10"/>
    <x v="10"/>
    <x v="3"/>
    <n v="18"/>
    <n v="0.67"/>
    <n v="61"/>
    <n v="8"/>
    <n v="51"/>
    <n v="54"/>
    <n v="47"/>
    <n v="71"/>
    <n v="119"/>
    <n v="70"/>
    <n v="75"/>
    <n v="71"/>
    <n v="62"/>
    <n v="82"/>
    <n v="42"/>
    <n v="92"/>
    <n v="65"/>
    <n v="18"/>
    <n v="343"/>
    <n v="55"/>
    <n v="219"/>
    <n v="135"/>
    <n v="10"/>
    <n v="168"/>
    <n v="115"/>
    <n v="572"/>
    <n v="156"/>
  </r>
  <r>
    <x v="3"/>
    <x v="11"/>
    <x v="11"/>
    <x v="0"/>
    <n v="61"/>
    <n v="0.3"/>
    <n v="39"/>
    <n v="41"/>
    <n v="69"/>
    <n v="30"/>
    <n v="98"/>
    <n v="85"/>
    <n v="108"/>
    <n v="98"/>
    <n v="66"/>
    <n v="48"/>
    <n v="41"/>
    <n v="50"/>
    <n v="82"/>
    <n v="38"/>
    <n v="102"/>
    <n v="31"/>
    <n v="182"/>
    <n v="71"/>
    <n v="10"/>
    <n v="15"/>
    <n v="29"/>
    <n v="41"/>
    <n v="152"/>
    <n v="308"/>
    <n v="57"/>
  </r>
  <r>
    <x v="3"/>
    <x v="11"/>
    <x v="11"/>
    <x v="1"/>
    <n v="62"/>
    <n v="0.73"/>
    <n v="46"/>
    <n v="22"/>
    <n v="90"/>
    <n v="86"/>
    <n v="39"/>
    <n v="84"/>
    <n v="62"/>
    <n v="42"/>
    <n v="82"/>
    <n v="61"/>
    <n v="56"/>
    <n v="39"/>
    <n v="104"/>
    <n v="65"/>
    <n v="57"/>
    <n v="72"/>
    <n v="210"/>
    <n v="106"/>
    <n v="134"/>
    <n v="122"/>
    <n v="109"/>
    <n v="26"/>
    <n v="817"/>
    <n v="172"/>
    <n v="35"/>
  </r>
  <r>
    <x v="3"/>
    <x v="11"/>
    <x v="11"/>
    <x v="2"/>
    <n v="42"/>
    <n v="0.66"/>
    <n v="57"/>
    <n v="41"/>
    <n v="57"/>
    <n v="85"/>
    <n v="149"/>
    <n v="78"/>
    <n v="66"/>
    <n v="77"/>
    <n v="120"/>
    <n v="29"/>
    <n v="70"/>
    <n v="72"/>
    <n v="87"/>
    <n v="86"/>
    <n v="33"/>
    <n v="28"/>
    <n v="208"/>
    <n v="124"/>
    <n v="170"/>
    <n v="212"/>
    <n v="72"/>
    <n v="11"/>
    <n v="136"/>
    <n v="298"/>
    <n v="585"/>
  </r>
  <r>
    <x v="3"/>
    <x v="11"/>
    <x v="11"/>
    <x v="3"/>
    <n v="79"/>
    <n v="0.34"/>
    <n v="27"/>
    <n v="13"/>
    <n v="39"/>
    <n v="99"/>
    <n v="85"/>
    <n v="54"/>
    <n v="51"/>
    <n v="88"/>
    <n v="85"/>
    <n v="62"/>
    <n v="101"/>
    <n v="131"/>
    <n v="118"/>
    <n v="26"/>
    <n v="121"/>
    <n v="144"/>
    <n v="80"/>
    <n v="102"/>
    <n v="372"/>
    <n v="85"/>
    <n v="44"/>
    <n v="200"/>
    <n v="13"/>
    <n v="123"/>
    <n v="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965988-7840-4E83-BFF6-7628E38BB94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31">
    <pivotField axis="axisRow" showAll="0">
      <items count="5">
        <item x="3"/>
        <item x="2"/>
        <item x="1"/>
        <item x="0"/>
        <item t="default"/>
      </items>
    </pivotField>
    <pivotField showAll="0"/>
    <pivotField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Sum of Sales" fld="6"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92DD23-AC05-4A3B-8BC3-15B59F93A05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7:H50" firstHeaderRow="1" firstDataRow="1" firstDataCol="1"/>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Average Check"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8D397-3784-4D3F-BB3A-DD601FB0E71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9:W52" firstHeaderRow="0" firstDataRow="1" firstDataCol="1"/>
  <pivotFields count="31">
    <pivotField multipleItemSelectionAllowed="1" showAll="0">
      <items count="5">
        <item x="3"/>
        <item x="2"/>
        <item x="1"/>
        <item x="0"/>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dataFields count="12">
    <dataField name="Sum of Bathroom-I" fld="8" baseField="0" baseItem="0"/>
    <dataField name="Sum of Bedroom-I" fld="9" baseField="0" baseItem="0"/>
    <dataField name="Sum of Kitchen-I" fld="10" baseField="0" baseItem="0"/>
    <dataField name="Sum of Living-I" fld="11" baseField="0" baseItem="0"/>
    <dataField name="Sum of Garden-I" fld="12" baseField="0" baseItem="0"/>
    <dataField name="Sum of Decor-I" fld="13" baseField="0" baseItem="0"/>
    <dataField name="Sum of Bathroom-S" fld="14" baseField="0" baseItem="0"/>
    <dataField name="Sum of Bedroom-S" fld="15" baseField="0" baseItem="0"/>
    <dataField name="Sum of Kitchen-S" fld="16" baseField="0" baseItem="0"/>
    <dataField name="Sum of Living-S" fld="17" baseField="0" baseItem="0"/>
    <dataField name="Sum of Garden-S" fld="18" baseField="0" baseItem="0"/>
    <dataField name="Sum of Deco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9CFFA-202C-4917-8DF7-604FDD14563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Z4" firstHeaderRow="0" firstDataRow="1" firstDataCol="0"/>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Sum of Bathroom-I" fld="8" baseField="0" baseItem="0"/>
    <dataField name="Sum of Bedroom-I" fld="9" baseField="0" baseItem="0"/>
    <dataField name="Sum of Kitchen-I" fld="10" baseField="0" baseItem="0"/>
    <dataField name="Sum of Living-I" fld="11" baseField="0" baseItem="0"/>
    <dataField name="Sum of Garden-I" fld="12" baseField="0" baseItem="0"/>
    <dataField name="Sum of Decor-I" fld="13" baseField="0" baseItem="0"/>
    <dataField name="Sum of Bathroom-S" fld="14" baseField="0" baseItem="0"/>
    <dataField name="Sum of Bedroom-S" fld="15" baseField="0" baseItem="0"/>
    <dataField name="Sum of Kitchen-S" fld="16" baseField="0" baseItem="0"/>
    <dataField name="Sum of Living-S" fld="17" baseField="0" baseItem="0"/>
    <dataField name="Sum of Garden-S" fld="18" baseField="0" baseItem="0"/>
    <dataField name="Sum of Deco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FCE07C-1174-47B9-AABE-02809CF9B59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rowPageCount="1" colPageCount="1"/>
  <pivotFields count="31">
    <pivotField axis="axisPage" multipleItemSelectionAllowed="1" showAll="0">
      <items count="5">
        <item x="3"/>
        <item x="2"/>
        <item x="1"/>
        <item x="0"/>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Sum of Influx of New Clie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7873C1-15BD-407E-8B16-EB85A1738EA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H32" firstHeaderRow="1" firstDataRow="1" firstDataCol="1"/>
  <pivotFields count="31">
    <pivotField multipleItemSelectionAllowed="1" showAll="0">
      <items count="5">
        <item x="3"/>
        <item x="2"/>
        <item x="1"/>
        <item x="0"/>
        <item t="default"/>
      </items>
    </pivotField>
    <pivotField showAll="0"/>
    <pivotField showAll="0">
      <items count="13">
        <item x="0"/>
        <item x="1"/>
        <item x="2"/>
        <item x="3"/>
        <item x="4"/>
        <item x="5"/>
        <item x="6"/>
        <item x="7"/>
        <item x="8"/>
        <item x="9"/>
        <item x="10"/>
        <item x="11"/>
        <item t="default"/>
      </items>
    </pivotField>
    <pivotField axis="axisRow" showAll="0">
      <items count="5">
        <item x="1"/>
        <item x="0"/>
        <item x="2"/>
        <item x="3"/>
        <item t="default"/>
      </items>
    </pivotField>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6"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D1EEB5-D0B4-4383-8FBC-D019CECCE0CD}"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2:H65" firstHeaderRow="1" firstDataRow="1" firstDataCol="1"/>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Average Check"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EF88A4-9254-469F-AEFC-AD048224C03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5" firstHeaderRow="1" firstDataRow="1" firstDataCol="1"/>
  <pivotFields count="31">
    <pivotField multipleItemSelectionAllowed="1" showAll="0">
      <items count="5">
        <item x="3"/>
        <item x="2"/>
        <item x="1"/>
        <item x="0"/>
        <item t="default"/>
      </items>
    </pivotField>
    <pivotField showAll="0"/>
    <pivotField showAll="0">
      <items count="13">
        <item x="0"/>
        <item x="1"/>
        <item x="2"/>
        <item x="3"/>
        <item x="4"/>
        <item x="5"/>
        <item x="6"/>
        <item x="7"/>
        <item x="8"/>
        <item x="9"/>
        <item x="10"/>
        <item x="11"/>
        <item t="default"/>
      </items>
    </pivotField>
    <pivotField axis="axisRow" showAll="0">
      <items count="5">
        <item x="1"/>
        <item x="0"/>
        <item x="2"/>
        <item x="3"/>
        <item t="default"/>
      </items>
    </pivotField>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6"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01F7B2-10C1-4BEE-8203-59831575C0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rowPageCount="1" colPageCount="1"/>
  <pivotFields count="31">
    <pivotField axis="axisPage" multipleItemSelectionAllowed="1" showAll="0">
      <items count="5">
        <item x="3"/>
        <item x="2"/>
        <item x="1"/>
        <item x="0"/>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Sum of Influx of New Clie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077D08-79F4-4B86-93A2-6A06A3CF4CFC}"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2:X23" firstHeaderRow="0" firstDataRow="1" firstDataCol="0"/>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10">
    <i>
      <x/>
    </i>
    <i i="1">
      <x v="1"/>
    </i>
    <i i="2">
      <x v="2"/>
    </i>
    <i i="3">
      <x v="3"/>
    </i>
    <i i="4">
      <x v="4"/>
    </i>
    <i i="5">
      <x v="5"/>
    </i>
    <i i="6">
      <x v="6"/>
    </i>
    <i i="7">
      <x v="7"/>
    </i>
    <i i="8">
      <x v="8"/>
    </i>
    <i i="9">
      <x v="9"/>
    </i>
  </colItems>
  <dataFields count="10">
    <dataField name="Sum of Product 1" fld="21" baseField="0" baseItem="1"/>
    <dataField name="Sum of Product 2" fld="22" baseField="0" baseItem="0"/>
    <dataField name="Sum of Product 3" fld="23" baseField="0" baseItem="0"/>
    <dataField name="Sum of Product 4" fld="24" baseField="0" baseItem="0"/>
    <dataField name="Sum of Product 5" fld="25" baseField="0" baseItem="0"/>
    <dataField name="Sum of Product 6" fld="26" baseField="0" baseItem="0"/>
    <dataField name="Sum of Product 7" fld="27" baseField="0" baseItem="0"/>
    <dataField name="Sum of Product 8" fld="28" baseField="0" baseItem="0"/>
    <dataField name="Sum of Product 9" fld="29" baseField="0" baseItem="0"/>
    <dataField name="Sum of Product 10"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8B8A07-22D5-4F37-A24C-2CF9267DC6E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6" firstHeaderRow="0" firstDataRow="1" firstDataCol="1"/>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6" baseField="2" baseItem="0"/>
    <dataField name="Sum of Costs"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7F8BE9-E8C1-43EA-8DD6-1C09E09D548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rowPageCount="1" colPageCount="1"/>
  <pivotFields count="31">
    <pivotField axis="axisPage" multipleItemSelectionAllowed="1" showAll="0">
      <items count="5">
        <item x="3"/>
        <item x="2"/>
        <item x="1"/>
        <item x="0"/>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Average of Regular Clients" fld="5" subtotal="average" baseField="0" baseItem="0" numFmtId="9"/>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257A52-3C83-4F72-A5E1-6137AC8EADE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M33" firstHeaderRow="0" firstDataRow="1" firstDataCol="1"/>
  <pivotFields count="31">
    <pivotField multipleItemSelectionAllowed="1" showAll="0">
      <items count="5">
        <item x="3"/>
        <item x="2"/>
        <item x="1"/>
        <item x="0"/>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
        <item x="1"/>
        <item x="0"/>
        <item x="2"/>
        <item x="3"/>
        <item t="default"/>
      </items>
    </pivotField>
    <pivotField showAll="0"/>
    <pivotField numFmtId="9"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6" baseField="2" baseItem="0"/>
    <dataField name="Sum of Costs"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Month" xr10:uid="{F874321F-B0C2-4C45-8788-EE0721C5087B}" sourceName="Name Month">
  <pivotTables>
    <pivotTable tabId="4" name="PivotTable2"/>
    <pivotTable tabId="4" name="PivotTable5"/>
    <pivotTable tabId="4" name="PivotTable1"/>
    <pivotTable tabId="4" name="PivotTable7"/>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s>
  <data>
    <tabular pivotCacheId="1886971629">
      <items count="12">
        <i x="0" s="1"/>
        <i x="1" s="1"/>
        <i x="2" s="1"/>
        <i x="3" s="1"/>
        <i x="4" s="1"/>
        <i x="5" s="1"/>
        <i x="6" s="1"/>
        <i x="7" s="1"/>
        <i x="8" s="1"/>
        <i x="9" s="1"/>
        <i x="10" s="1"/>
        <i x="1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BF7A6C-9A1D-407F-8D56-8DE43D3F87ED}" sourceName="Year">
  <pivotTables>
    <pivotTable tabId="4" name="PivotTable1"/>
    <pivotTable tabId="4" name="PivotTable2"/>
    <pivotTable tabId="4" name="PivotTable5"/>
    <pivotTable tabId="4" name="PivotTable7"/>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s>
  <data>
    <tabular pivotCacheId="1886971629">
      <items count="4">
        <i x="3" s="1"/>
        <i x="2" s="1"/>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s" xr10:uid="{33BF3117-0E12-413A-9C6E-247D0B934DED}" sourceName="Departments">
  <pivotTables>
    <pivotTable tabId="4" name="PivotTable1"/>
    <pivotTable tabId="4" name="PivotTable5"/>
    <pivotTable tabId="4" name="PivotTable2"/>
    <pivotTable tabId="4" name="PivotTable7"/>
    <pivotTable tabId="4" name="PivotTable13"/>
    <pivotTable tabId="4" name="PivotTable12"/>
    <pivotTable tabId="4" name="PivotTable14"/>
    <pivotTable tabId="4" name="PivotTable15"/>
    <pivotTable tabId="4" name="PivotTable16"/>
    <pivotTable tabId="4" name="PivotTable17"/>
    <pivotTable tabId="4" name="PivotTable18"/>
    <pivotTable tabId="4" name="PivotTable19"/>
    <pivotTable tabId="4" name="PivotTable20"/>
  </pivotTables>
  <data>
    <tabular pivotCacheId="188697162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Month" xr10:uid="{672E45D0-C78E-46D0-9F02-7C67B7003547}" cache="Slicer_Name_Month" caption="Name Month" columnCount="12" showCaption="0" style="SlicerStyleLight1 2" rowHeight="182880"/>
  <slicer name="Name Month 1" xr10:uid="{A2F8FA8C-FC1F-470E-A6B0-2A9E2FFE4FB8}" cache="Slicer_Name_Month" caption="Name Month" columnCount="12" showCaption="0" style="SlicerStyleLight1 2" rowHeight="182880"/>
  <slicer name="Name Month 2" xr10:uid="{05639104-DAA1-4F86-B2FC-D2DC629BDC64}" cache="Slicer_Name_Month" caption="Name Month" columnCount="12" showCaption="0" style="SlicerStyleLight1 2" rowHeight="257175"/>
  <slicer name="Year" xr10:uid="{E8EF821C-57C9-49D1-882E-03E55A43FFA4}" cache="Slicer_Year" caption="Year" columnCount="4" showCaption="0" style="SlicerStyleLight1 2" rowHeight="257175"/>
  <slicer name="Departments" xr10:uid="{C1BF5D61-07F8-4F27-A2DE-D9830DA354F0}" cache="Slicer_Departments" caption="Departments" showCaption="0" style="SlicerStyleLight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E0C7-2764-4603-8237-9161845A6630}">
  <dimension ref="A1:AE193"/>
  <sheetViews>
    <sheetView topLeftCell="A91" workbookViewId="0">
      <selection activeCell="H6" sqref="H6"/>
    </sheetView>
  </sheetViews>
  <sheetFormatPr defaultRowHeight="15" x14ac:dyDescent="0.25"/>
  <cols>
    <col min="1" max="1" width="5" bestFit="1" customWidth="1"/>
    <col min="2" max="3" width="6.7109375" bestFit="1" customWidth="1"/>
    <col min="4" max="4" width="8.85546875" bestFit="1" customWidth="1"/>
    <col min="5" max="5" width="8.42578125" bestFit="1" customWidth="1"/>
    <col min="6" max="6" width="7.85546875" bestFit="1" customWidth="1"/>
    <col min="7" max="7" width="6.5703125" bestFit="1" customWidth="1"/>
    <col min="8" max="8" width="6.28515625" bestFit="1" customWidth="1"/>
    <col min="9" max="9" width="8" bestFit="1" customWidth="1"/>
    <col min="12" max="12" width="7.5703125" bestFit="1" customWidth="1"/>
    <col min="13" max="13" width="8.85546875" bestFit="1" customWidth="1"/>
    <col min="14" max="14" width="7.7109375" bestFit="1" customWidth="1"/>
    <col min="15" max="15" width="8" bestFit="1" customWidth="1"/>
    <col min="17" max="17" width="8.5703125" bestFit="1" customWidth="1"/>
    <col min="18" max="18" width="8.140625" bestFit="1" customWidth="1"/>
    <col min="19" max="20" width="8.28515625" bestFit="1" customWidth="1"/>
    <col min="21" max="21" width="8.140625" bestFit="1" customWidth="1"/>
    <col min="22" max="30" width="8" bestFit="1" customWidth="1"/>
    <col min="31" max="31" width="10.42578125" bestFit="1" customWidth="1"/>
  </cols>
  <sheetData>
    <row r="1" spans="1:31" ht="4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row>
    <row r="2" spans="1:31" ht="30.75" thickBot="1" x14ac:dyDescent="0.3">
      <c r="A2" s="3">
        <v>2025</v>
      </c>
      <c r="B2" s="3">
        <v>1</v>
      </c>
      <c r="C2" s="3" t="s">
        <v>31</v>
      </c>
      <c r="D2" s="4" t="s">
        <v>32</v>
      </c>
      <c r="E2" s="3">
        <v>77</v>
      </c>
      <c r="F2" s="5">
        <v>0.57999999999999996</v>
      </c>
      <c r="G2" s="6" t="s">
        <v>33</v>
      </c>
      <c r="H2" s="6" t="s">
        <v>34</v>
      </c>
      <c r="I2" s="6">
        <v>59</v>
      </c>
      <c r="J2" s="6">
        <v>107</v>
      </c>
      <c r="K2" s="6">
        <v>53</v>
      </c>
      <c r="L2" s="6">
        <v>92</v>
      </c>
      <c r="M2" s="6">
        <v>79</v>
      </c>
      <c r="N2" s="6">
        <v>59</v>
      </c>
      <c r="O2" s="6">
        <v>130</v>
      </c>
      <c r="P2" s="6">
        <v>116</v>
      </c>
      <c r="Q2" s="6">
        <v>65</v>
      </c>
      <c r="R2" s="6">
        <v>104</v>
      </c>
      <c r="S2" s="6">
        <v>32</v>
      </c>
      <c r="T2" s="6">
        <v>77</v>
      </c>
      <c r="U2" s="6">
        <v>25</v>
      </c>
      <c r="V2" s="6">
        <v>441</v>
      </c>
      <c r="W2" s="6">
        <v>77</v>
      </c>
      <c r="X2" s="6">
        <v>357</v>
      </c>
      <c r="Y2" s="6">
        <v>183</v>
      </c>
      <c r="Z2" s="6">
        <v>97</v>
      </c>
      <c r="AA2" s="6">
        <v>10</v>
      </c>
      <c r="AB2" s="6">
        <v>422</v>
      </c>
      <c r="AC2" s="6">
        <v>29</v>
      </c>
      <c r="AD2" s="6">
        <v>71</v>
      </c>
      <c r="AE2" s="6">
        <v>40</v>
      </c>
    </row>
    <row r="3" spans="1:31" ht="30.75" thickBot="1" x14ac:dyDescent="0.3">
      <c r="A3" s="3">
        <v>2025</v>
      </c>
      <c r="B3" s="3">
        <v>1</v>
      </c>
      <c r="C3" s="3" t="s">
        <v>31</v>
      </c>
      <c r="D3" s="4" t="s">
        <v>35</v>
      </c>
      <c r="E3" s="3">
        <v>54</v>
      </c>
      <c r="F3" s="5">
        <v>0.41</v>
      </c>
      <c r="G3" s="6" t="s">
        <v>36</v>
      </c>
      <c r="H3" s="6" t="s">
        <v>37</v>
      </c>
      <c r="I3" s="6">
        <v>70</v>
      </c>
      <c r="J3" s="6">
        <v>108</v>
      </c>
      <c r="K3" s="6">
        <v>96</v>
      </c>
      <c r="L3" s="6">
        <v>132</v>
      </c>
      <c r="M3" s="6">
        <v>66</v>
      </c>
      <c r="N3" s="6">
        <v>83</v>
      </c>
      <c r="O3" s="6">
        <v>78</v>
      </c>
      <c r="P3" s="6">
        <v>96</v>
      </c>
      <c r="Q3" s="6">
        <v>60</v>
      </c>
      <c r="R3" s="6">
        <v>94</v>
      </c>
      <c r="S3" s="6">
        <v>63</v>
      </c>
      <c r="T3" s="6">
        <v>92</v>
      </c>
      <c r="U3" s="6">
        <v>26</v>
      </c>
      <c r="V3" s="6">
        <v>281</v>
      </c>
      <c r="W3" s="6">
        <v>354</v>
      </c>
      <c r="X3" s="6">
        <v>695</v>
      </c>
      <c r="Y3" s="6">
        <v>8</v>
      </c>
      <c r="Z3" s="6">
        <v>18</v>
      </c>
      <c r="AA3" s="6">
        <v>61</v>
      </c>
      <c r="AB3" s="6">
        <v>316</v>
      </c>
      <c r="AC3" s="6">
        <v>353</v>
      </c>
      <c r="AD3" s="6">
        <v>44</v>
      </c>
      <c r="AE3" s="6">
        <v>65</v>
      </c>
    </row>
    <row r="4" spans="1:31" ht="30.75" thickBot="1" x14ac:dyDescent="0.3">
      <c r="A4" s="3">
        <v>2025</v>
      </c>
      <c r="B4" s="3">
        <v>1</v>
      </c>
      <c r="C4" s="3" t="s">
        <v>31</v>
      </c>
      <c r="D4" s="4" t="s">
        <v>38</v>
      </c>
      <c r="E4" s="3">
        <v>104</v>
      </c>
      <c r="F4" s="5">
        <v>0.56999999999999995</v>
      </c>
      <c r="G4" s="6">
        <v>130</v>
      </c>
      <c r="H4" s="6" t="s">
        <v>39</v>
      </c>
      <c r="I4" s="6">
        <v>78</v>
      </c>
      <c r="J4" s="6">
        <v>102</v>
      </c>
      <c r="K4" s="6">
        <v>41</v>
      </c>
      <c r="L4" s="6">
        <v>116</v>
      </c>
      <c r="M4" s="6">
        <v>49</v>
      </c>
      <c r="N4" s="6">
        <v>103</v>
      </c>
      <c r="O4" s="6">
        <v>100</v>
      </c>
      <c r="P4" s="6">
        <v>114</v>
      </c>
      <c r="Q4" s="6">
        <v>138</v>
      </c>
      <c r="R4" s="6">
        <v>104</v>
      </c>
      <c r="S4" s="6">
        <v>33</v>
      </c>
      <c r="T4" s="6">
        <v>94</v>
      </c>
      <c r="U4" s="6">
        <v>19</v>
      </c>
      <c r="V4" s="6">
        <v>345</v>
      </c>
      <c r="W4" s="6">
        <v>159</v>
      </c>
      <c r="X4" s="6">
        <v>375</v>
      </c>
      <c r="Y4" s="6">
        <v>162</v>
      </c>
      <c r="Z4" s="6">
        <v>139</v>
      </c>
      <c r="AA4" s="6">
        <v>93</v>
      </c>
      <c r="AB4" s="6">
        <v>136</v>
      </c>
      <c r="AC4" s="6">
        <v>220</v>
      </c>
      <c r="AD4" s="6">
        <v>82</v>
      </c>
      <c r="AE4" s="6">
        <v>172</v>
      </c>
    </row>
    <row r="5" spans="1:31" ht="30.75" thickBot="1" x14ac:dyDescent="0.3">
      <c r="A5" s="3">
        <v>2025</v>
      </c>
      <c r="B5" s="3">
        <v>1</v>
      </c>
      <c r="C5" s="3" t="s">
        <v>31</v>
      </c>
      <c r="D5" s="4" t="s">
        <v>40</v>
      </c>
      <c r="E5" s="3">
        <v>45</v>
      </c>
      <c r="F5" s="5">
        <v>0.75</v>
      </c>
      <c r="G5" s="6" t="s">
        <v>41</v>
      </c>
      <c r="H5" s="6">
        <v>31</v>
      </c>
      <c r="I5" s="6">
        <v>57</v>
      </c>
      <c r="J5" s="6">
        <v>51</v>
      </c>
      <c r="K5" s="6">
        <v>84</v>
      </c>
      <c r="L5" s="6">
        <v>139</v>
      </c>
      <c r="M5" s="6">
        <v>68</v>
      </c>
      <c r="N5" s="6">
        <v>91</v>
      </c>
      <c r="O5" s="6">
        <v>73</v>
      </c>
      <c r="P5" s="6">
        <v>116</v>
      </c>
      <c r="Q5" s="6">
        <v>50</v>
      </c>
      <c r="R5" s="6">
        <v>61</v>
      </c>
      <c r="S5" s="6">
        <v>66</v>
      </c>
      <c r="T5" s="6">
        <v>34</v>
      </c>
      <c r="U5" s="6">
        <v>30</v>
      </c>
      <c r="V5" s="6">
        <v>415</v>
      </c>
      <c r="W5" s="6">
        <v>151</v>
      </c>
      <c r="X5" s="6">
        <v>677</v>
      </c>
      <c r="Y5" s="6">
        <v>108</v>
      </c>
      <c r="Z5" s="6">
        <v>104</v>
      </c>
      <c r="AA5" s="6">
        <v>107</v>
      </c>
      <c r="AB5" s="6">
        <v>656</v>
      </c>
      <c r="AC5" s="6">
        <v>28</v>
      </c>
      <c r="AD5" s="6">
        <v>104</v>
      </c>
      <c r="AE5" s="6">
        <v>75</v>
      </c>
    </row>
    <row r="6" spans="1:31" ht="30.75" thickBot="1" x14ac:dyDescent="0.3">
      <c r="A6" s="3">
        <v>2025</v>
      </c>
      <c r="B6" s="3">
        <v>2</v>
      </c>
      <c r="C6" s="3" t="s">
        <v>42</v>
      </c>
      <c r="D6" s="4" t="s">
        <v>32</v>
      </c>
      <c r="E6" s="3">
        <v>64</v>
      </c>
      <c r="F6" s="5">
        <v>0.52</v>
      </c>
      <c r="G6" s="6">
        <v>80</v>
      </c>
      <c r="H6" s="6" t="s">
        <v>43</v>
      </c>
      <c r="I6" s="6">
        <v>49</v>
      </c>
      <c r="J6" s="6">
        <v>38</v>
      </c>
      <c r="K6" s="6">
        <v>87</v>
      </c>
      <c r="L6" s="6">
        <v>145</v>
      </c>
      <c r="M6" s="6">
        <v>50</v>
      </c>
      <c r="N6" s="6">
        <v>77</v>
      </c>
      <c r="O6" s="6">
        <v>129</v>
      </c>
      <c r="P6" s="6">
        <v>114</v>
      </c>
      <c r="Q6" s="6">
        <v>114</v>
      </c>
      <c r="R6" s="6">
        <v>104</v>
      </c>
      <c r="S6" s="6">
        <v>30</v>
      </c>
      <c r="T6" s="6">
        <v>89</v>
      </c>
      <c r="U6" s="6">
        <v>24</v>
      </c>
      <c r="V6" s="6">
        <v>380</v>
      </c>
      <c r="W6" s="6">
        <v>44</v>
      </c>
      <c r="X6" s="6">
        <v>517</v>
      </c>
      <c r="Y6" s="6">
        <v>79</v>
      </c>
      <c r="Z6" s="6">
        <v>98</v>
      </c>
      <c r="AA6" s="6">
        <v>159</v>
      </c>
      <c r="AB6" s="6">
        <v>174</v>
      </c>
      <c r="AC6" s="6">
        <v>142</v>
      </c>
      <c r="AD6" s="6">
        <v>344</v>
      </c>
      <c r="AE6" s="6">
        <v>15</v>
      </c>
    </row>
    <row r="7" spans="1:31" ht="30.75" thickBot="1" x14ac:dyDescent="0.3">
      <c r="A7" s="3">
        <v>2025</v>
      </c>
      <c r="B7" s="3">
        <v>2</v>
      </c>
      <c r="C7" s="3" t="s">
        <v>42</v>
      </c>
      <c r="D7" s="4" t="s">
        <v>35</v>
      </c>
      <c r="E7" s="3">
        <v>22</v>
      </c>
      <c r="F7" s="5">
        <v>0.37</v>
      </c>
      <c r="G7" s="6" t="s">
        <v>44</v>
      </c>
      <c r="H7" s="6" t="s">
        <v>45</v>
      </c>
      <c r="I7" s="6">
        <v>82</v>
      </c>
      <c r="J7" s="6">
        <v>53</v>
      </c>
      <c r="K7" s="6">
        <v>80</v>
      </c>
      <c r="L7" s="6">
        <v>58</v>
      </c>
      <c r="M7" s="6">
        <v>60</v>
      </c>
      <c r="N7" s="6">
        <v>110</v>
      </c>
      <c r="O7" s="6">
        <v>50</v>
      </c>
      <c r="P7" s="6">
        <v>123</v>
      </c>
      <c r="Q7" s="6">
        <v>70</v>
      </c>
      <c r="R7" s="6">
        <v>82</v>
      </c>
      <c r="S7" s="6">
        <v>54</v>
      </c>
      <c r="T7" s="6">
        <v>70</v>
      </c>
      <c r="U7" s="6">
        <v>65</v>
      </c>
      <c r="V7" s="6">
        <v>86</v>
      </c>
      <c r="W7" s="6">
        <v>99</v>
      </c>
      <c r="X7" s="6">
        <v>557</v>
      </c>
      <c r="Y7" s="6">
        <v>253</v>
      </c>
      <c r="Z7" s="6">
        <v>126</v>
      </c>
      <c r="AA7" s="6">
        <v>120</v>
      </c>
      <c r="AB7" s="6">
        <v>290</v>
      </c>
      <c r="AC7" s="6">
        <v>159</v>
      </c>
      <c r="AD7" s="6">
        <v>267</v>
      </c>
      <c r="AE7" s="6">
        <v>44</v>
      </c>
    </row>
    <row r="8" spans="1:31" ht="30.75" thickBot="1" x14ac:dyDescent="0.3">
      <c r="A8" s="3">
        <v>2025</v>
      </c>
      <c r="B8" s="3">
        <v>2</v>
      </c>
      <c r="C8" s="3" t="s">
        <v>42</v>
      </c>
      <c r="D8" s="4" t="s">
        <v>38</v>
      </c>
      <c r="E8" s="3">
        <v>67</v>
      </c>
      <c r="F8" s="5">
        <v>0.8</v>
      </c>
      <c r="G8" s="6" t="s">
        <v>46</v>
      </c>
      <c r="H8" s="6" t="s">
        <v>47</v>
      </c>
      <c r="I8" s="6">
        <v>31</v>
      </c>
      <c r="J8" s="6">
        <v>57</v>
      </c>
      <c r="K8" s="6">
        <v>75</v>
      </c>
      <c r="L8" s="6">
        <v>145</v>
      </c>
      <c r="M8" s="6">
        <v>52</v>
      </c>
      <c r="N8" s="6">
        <v>119</v>
      </c>
      <c r="O8" s="6">
        <v>56</v>
      </c>
      <c r="P8" s="6">
        <v>114</v>
      </c>
      <c r="Q8" s="6">
        <v>63</v>
      </c>
      <c r="R8" s="6">
        <v>77</v>
      </c>
      <c r="S8" s="6">
        <v>32</v>
      </c>
      <c r="T8" s="6">
        <v>78</v>
      </c>
      <c r="U8" s="6">
        <v>51</v>
      </c>
      <c r="V8" s="6">
        <v>33</v>
      </c>
      <c r="W8" s="6">
        <v>358</v>
      </c>
      <c r="X8" s="6">
        <v>37</v>
      </c>
      <c r="Y8" s="6">
        <v>321</v>
      </c>
      <c r="Z8" s="6">
        <v>273</v>
      </c>
      <c r="AA8" s="6">
        <v>131</v>
      </c>
      <c r="AB8" s="6">
        <v>416</v>
      </c>
      <c r="AC8" s="6">
        <v>18</v>
      </c>
      <c r="AD8" s="6">
        <v>170</v>
      </c>
      <c r="AE8" s="6">
        <v>48</v>
      </c>
    </row>
    <row r="9" spans="1:31" ht="30.75" thickBot="1" x14ac:dyDescent="0.3">
      <c r="A9" s="3">
        <v>2025</v>
      </c>
      <c r="B9" s="3">
        <v>2</v>
      </c>
      <c r="C9" s="3" t="s">
        <v>42</v>
      </c>
      <c r="D9" s="4" t="s">
        <v>40</v>
      </c>
      <c r="E9" s="3">
        <v>27</v>
      </c>
      <c r="F9" s="5">
        <v>0.46</v>
      </c>
      <c r="G9" s="6" t="s">
        <v>48</v>
      </c>
      <c r="H9" s="6" t="s">
        <v>49</v>
      </c>
      <c r="I9" s="6">
        <v>68</v>
      </c>
      <c r="J9" s="6">
        <v>50</v>
      </c>
      <c r="K9" s="6">
        <v>64</v>
      </c>
      <c r="L9" s="6">
        <v>144</v>
      </c>
      <c r="M9" s="6">
        <v>78</v>
      </c>
      <c r="N9" s="6">
        <v>104</v>
      </c>
      <c r="O9" s="6">
        <v>88</v>
      </c>
      <c r="P9" s="6">
        <v>86</v>
      </c>
      <c r="Q9" s="6">
        <v>53</v>
      </c>
      <c r="R9" s="6">
        <v>46</v>
      </c>
      <c r="S9" s="6">
        <v>55</v>
      </c>
      <c r="T9" s="6">
        <v>90</v>
      </c>
      <c r="U9" s="6">
        <v>40</v>
      </c>
      <c r="V9" s="6">
        <v>322</v>
      </c>
      <c r="W9" s="6">
        <v>32</v>
      </c>
      <c r="X9" s="6">
        <v>950</v>
      </c>
      <c r="Y9" s="6">
        <v>111</v>
      </c>
      <c r="Z9" s="6">
        <v>126</v>
      </c>
      <c r="AA9" s="6">
        <v>58</v>
      </c>
      <c r="AB9" s="6">
        <v>586</v>
      </c>
      <c r="AC9" s="6">
        <v>50</v>
      </c>
      <c r="AD9" s="6">
        <v>54</v>
      </c>
      <c r="AE9" s="6">
        <v>179</v>
      </c>
    </row>
    <row r="10" spans="1:31" ht="30.75" thickBot="1" x14ac:dyDescent="0.3">
      <c r="A10" s="3">
        <v>2025</v>
      </c>
      <c r="B10" s="3">
        <v>3</v>
      </c>
      <c r="C10" s="3" t="s">
        <v>50</v>
      </c>
      <c r="D10" s="4" t="s">
        <v>32</v>
      </c>
      <c r="E10" s="3">
        <v>22</v>
      </c>
      <c r="F10" s="5">
        <v>0.31</v>
      </c>
      <c r="G10" s="6" t="s">
        <v>44</v>
      </c>
      <c r="H10" s="6" t="s">
        <v>51</v>
      </c>
      <c r="I10" s="6">
        <v>47</v>
      </c>
      <c r="J10" s="6">
        <v>110</v>
      </c>
      <c r="K10" s="6">
        <v>53</v>
      </c>
      <c r="L10" s="6">
        <v>113</v>
      </c>
      <c r="M10" s="6">
        <v>55</v>
      </c>
      <c r="N10" s="6">
        <v>78</v>
      </c>
      <c r="O10" s="6">
        <v>135</v>
      </c>
      <c r="P10" s="6">
        <v>115</v>
      </c>
      <c r="Q10" s="6">
        <v>58</v>
      </c>
      <c r="R10" s="6">
        <v>99</v>
      </c>
      <c r="S10" s="6">
        <v>55</v>
      </c>
      <c r="T10" s="6">
        <v>87</v>
      </c>
      <c r="U10" s="6">
        <v>51</v>
      </c>
      <c r="V10" s="6">
        <v>39</v>
      </c>
      <c r="W10" s="6">
        <v>164</v>
      </c>
      <c r="X10" s="6">
        <v>505</v>
      </c>
      <c r="Y10" s="6">
        <v>41</v>
      </c>
      <c r="Z10" s="6">
        <v>196</v>
      </c>
      <c r="AA10" s="6">
        <v>81</v>
      </c>
      <c r="AB10" s="6">
        <v>542</v>
      </c>
      <c r="AC10" s="6">
        <v>56</v>
      </c>
      <c r="AD10" s="6">
        <v>164</v>
      </c>
      <c r="AE10" s="6">
        <v>119</v>
      </c>
    </row>
    <row r="11" spans="1:31" ht="30.75" thickBot="1" x14ac:dyDescent="0.3">
      <c r="A11" s="3">
        <v>2025</v>
      </c>
      <c r="B11" s="3">
        <v>3</v>
      </c>
      <c r="C11" s="3" t="s">
        <v>50</v>
      </c>
      <c r="D11" s="4" t="s">
        <v>35</v>
      </c>
      <c r="E11" s="3">
        <v>58</v>
      </c>
      <c r="F11" s="5">
        <v>0.48</v>
      </c>
      <c r="G11" s="6" t="s">
        <v>52</v>
      </c>
      <c r="H11" s="6" t="s">
        <v>53</v>
      </c>
      <c r="I11" s="6">
        <v>31</v>
      </c>
      <c r="J11" s="6">
        <v>71</v>
      </c>
      <c r="K11" s="6">
        <v>103</v>
      </c>
      <c r="L11" s="6">
        <v>103</v>
      </c>
      <c r="M11" s="6">
        <v>109</v>
      </c>
      <c r="N11" s="6">
        <v>128</v>
      </c>
      <c r="O11" s="6">
        <v>115</v>
      </c>
      <c r="P11" s="6">
        <v>106</v>
      </c>
      <c r="Q11" s="6">
        <v>99</v>
      </c>
      <c r="R11" s="6">
        <v>87</v>
      </c>
      <c r="S11" s="6">
        <v>63</v>
      </c>
      <c r="T11" s="6">
        <v>41</v>
      </c>
      <c r="U11" s="6">
        <v>33</v>
      </c>
      <c r="V11" s="6">
        <v>33</v>
      </c>
      <c r="W11" s="6">
        <v>160</v>
      </c>
      <c r="X11" s="6">
        <v>45</v>
      </c>
      <c r="Y11" s="6">
        <v>136</v>
      </c>
      <c r="Z11" s="6">
        <v>313</v>
      </c>
      <c r="AA11" s="6">
        <v>37</v>
      </c>
      <c r="AB11" s="6">
        <v>146</v>
      </c>
      <c r="AC11" s="6">
        <v>46</v>
      </c>
      <c r="AD11" s="6">
        <v>292</v>
      </c>
      <c r="AE11" s="6">
        <v>16</v>
      </c>
    </row>
    <row r="12" spans="1:31" ht="30.75" thickBot="1" x14ac:dyDescent="0.3">
      <c r="A12" s="3">
        <v>2025</v>
      </c>
      <c r="B12" s="3">
        <v>3</v>
      </c>
      <c r="C12" s="3" t="s">
        <v>50</v>
      </c>
      <c r="D12" s="4" t="s">
        <v>38</v>
      </c>
      <c r="E12" s="3">
        <v>46</v>
      </c>
      <c r="F12" s="5">
        <v>0.77</v>
      </c>
      <c r="G12" s="6" t="s">
        <v>54</v>
      </c>
      <c r="H12" s="6" t="s">
        <v>55</v>
      </c>
      <c r="I12" s="6">
        <v>71</v>
      </c>
      <c r="J12" s="6">
        <v>113</v>
      </c>
      <c r="K12" s="6">
        <v>44</v>
      </c>
      <c r="L12" s="6">
        <v>68</v>
      </c>
      <c r="M12" s="6">
        <v>96</v>
      </c>
      <c r="N12" s="6">
        <v>97</v>
      </c>
      <c r="O12" s="6">
        <v>47</v>
      </c>
      <c r="P12" s="6">
        <v>77</v>
      </c>
      <c r="Q12" s="6">
        <v>113</v>
      </c>
      <c r="R12" s="6">
        <v>48</v>
      </c>
      <c r="S12" s="6">
        <v>67</v>
      </c>
      <c r="T12" s="6">
        <v>55</v>
      </c>
      <c r="U12" s="6">
        <v>54</v>
      </c>
      <c r="V12" s="6">
        <v>53</v>
      </c>
      <c r="W12" s="6">
        <v>8</v>
      </c>
      <c r="X12" s="6">
        <v>97</v>
      </c>
      <c r="Y12" s="6">
        <v>160</v>
      </c>
      <c r="Z12" s="6">
        <v>166</v>
      </c>
      <c r="AA12" s="6">
        <v>76</v>
      </c>
      <c r="AB12" s="6">
        <v>80</v>
      </c>
      <c r="AC12" s="6">
        <v>324</v>
      </c>
      <c r="AD12" s="6">
        <v>152</v>
      </c>
      <c r="AE12" s="6">
        <v>38</v>
      </c>
    </row>
    <row r="13" spans="1:31" ht="30.75" thickBot="1" x14ac:dyDescent="0.3">
      <c r="A13" s="3">
        <v>2025</v>
      </c>
      <c r="B13" s="3">
        <v>3</v>
      </c>
      <c r="C13" s="3" t="s">
        <v>50</v>
      </c>
      <c r="D13" s="4" t="s">
        <v>40</v>
      </c>
      <c r="E13" s="3">
        <v>50</v>
      </c>
      <c r="F13" s="5">
        <v>0.4</v>
      </c>
      <c r="G13" s="6" t="s">
        <v>56</v>
      </c>
      <c r="H13" s="6" t="s">
        <v>57</v>
      </c>
      <c r="I13" s="6">
        <v>32</v>
      </c>
      <c r="J13" s="6">
        <v>55</v>
      </c>
      <c r="K13" s="6">
        <v>61</v>
      </c>
      <c r="L13" s="6">
        <v>108</v>
      </c>
      <c r="M13" s="6">
        <v>67</v>
      </c>
      <c r="N13" s="6">
        <v>72</v>
      </c>
      <c r="O13" s="6">
        <v>131</v>
      </c>
      <c r="P13" s="6">
        <v>75</v>
      </c>
      <c r="Q13" s="6">
        <v>55</v>
      </c>
      <c r="R13" s="6">
        <v>49</v>
      </c>
      <c r="S13" s="6">
        <v>67</v>
      </c>
      <c r="T13" s="6">
        <v>37</v>
      </c>
      <c r="U13" s="6">
        <v>22</v>
      </c>
      <c r="V13" s="6">
        <v>314</v>
      </c>
      <c r="W13" s="6">
        <v>46</v>
      </c>
      <c r="X13" s="6">
        <v>72</v>
      </c>
      <c r="Y13" s="6">
        <v>80</v>
      </c>
      <c r="Z13" s="6">
        <v>78</v>
      </c>
      <c r="AA13" s="6">
        <v>259</v>
      </c>
      <c r="AB13" s="6">
        <v>514</v>
      </c>
      <c r="AC13" s="6">
        <v>199</v>
      </c>
      <c r="AD13" s="6">
        <v>21</v>
      </c>
      <c r="AE13" s="6">
        <v>6</v>
      </c>
    </row>
    <row r="14" spans="1:31" ht="30.75" thickBot="1" x14ac:dyDescent="0.3">
      <c r="A14" s="3">
        <v>2025</v>
      </c>
      <c r="B14" s="3">
        <v>4</v>
      </c>
      <c r="C14" s="3" t="s">
        <v>58</v>
      </c>
      <c r="D14" s="4" t="s">
        <v>32</v>
      </c>
      <c r="E14" s="3">
        <v>78</v>
      </c>
      <c r="F14" s="5">
        <v>0.78</v>
      </c>
      <c r="G14" s="6" t="s">
        <v>59</v>
      </c>
      <c r="H14" s="6" t="s">
        <v>60</v>
      </c>
      <c r="I14" s="6">
        <v>73</v>
      </c>
      <c r="J14" s="6">
        <v>90</v>
      </c>
      <c r="K14" s="6">
        <v>95</v>
      </c>
      <c r="L14" s="6">
        <v>124</v>
      </c>
      <c r="M14" s="6">
        <v>77</v>
      </c>
      <c r="N14" s="6">
        <v>44</v>
      </c>
      <c r="O14" s="6">
        <v>83</v>
      </c>
      <c r="P14" s="6">
        <v>103</v>
      </c>
      <c r="Q14" s="6">
        <v>64</v>
      </c>
      <c r="R14" s="6">
        <v>48</v>
      </c>
      <c r="S14" s="6">
        <v>53</v>
      </c>
      <c r="T14" s="6">
        <v>67</v>
      </c>
      <c r="U14" s="6">
        <v>57</v>
      </c>
      <c r="V14" s="6">
        <v>88</v>
      </c>
      <c r="W14" s="6">
        <v>51</v>
      </c>
      <c r="X14" s="6">
        <v>65</v>
      </c>
      <c r="Y14" s="6">
        <v>63</v>
      </c>
      <c r="Z14" s="6">
        <v>132</v>
      </c>
      <c r="AA14" s="6">
        <v>96</v>
      </c>
      <c r="AB14" s="6">
        <v>310</v>
      </c>
      <c r="AC14" s="6">
        <v>69</v>
      </c>
      <c r="AD14" s="6">
        <v>227</v>
      </c>
      <c r="AE14" s="6">
        <v>187</v>
      </c>
    </row>
    <row r="15" spans="1:31" ht="30.75" thickBot="1" x14ac:dyDescent="0.3">
      <c r="A15" s="3">
        <v>2025</v>
      </c>
      <c r="B15" s="3">
        <v>4</v>
      </c>
      <c r="C15" s="3" t="s">
        <v>58</v>
      </c>
      <c r="D15" s="4" t="s">
        <v>35</v>
      </c>
      <c r="E15" s="3">
        <v>64</v>
      </c>
      <c r="F15" s="5">
        <v>0.43</v>
      </c>
      <c r="G15" s="6">
        <v>80</v>
      </c>
      <c r="H15" s="6" t="s">
        <v>61</v>
      </c>
      <c r="I15" s="6">
        <v>73</v>
      </c>
      <c r="J15" s="6">
        <v>56</v>
      </c>
      <c r="K15" s="6">
        <v>40</v>
      </c>
      <c r="L15" s="6">
        <v>105</v>
      </c>
      <c r="M15" s="6">
        <v>60</v>
      </c>
      <c r="N15" s="6">
        <v>59</v>
      </c>
      <c r="O15" s="6">
        <v>101</v>
      </c>
      <c r="P15" s="6">
        <v>127</v>
      </c>
      <c r="Q15" s="6">
        <v>150</v>
      </c>
      <c r="R15" s="6">
        <v>89</v>
      </c>
      <c r="S15" s="6">
        <v>70</v>
      </c>
      <c r="T15" s="6">
        <v>59</v>
      </c>
      <c r="U15" s="6">
        <v>63</v>
      </c>
      <c r="V15" s="6">
        <v>235</v>
      </c>
      <c r="W15" s="6">
        <v>105</v>
      </c>
      <c r="X15" s="6">
        <v>690</v>
      </c>
      <c r="Y15" s="6">
        <v>45</v>
      </c>
      <c r="Z15" s="6">
        <v>336</v>
      </c>
      <c r="AA15" s="6">
        <v>176</v>
      </c>
      <c r="AB15" s="6">
        <v>312</v>
      </c>
      <c r="AC15" s="6">
        <v>56</v>
      </c>
      <c r="AD15" s="6">
        <v>35</v>
      </c>
      <c r="AE15" s="6">
        <v>141</v>
      </c>
    </row>
    <row r="16" spans="1:31" ht="30.75" thickBot="1" x14ac:dyDescent="0.3">
      <c r="A16" s="3">
        <v>2025</v>
      </c>
      <c r="B16" s="3">
        <v>4</v>
      </c>
      <c r="C16" s="3" t="s">
        <v>58</v>
      </c>
      <c r="D16" s="4" t="s">
        <v>38</v>
      </c>
      <c r="E16" s="3">
        <v>48</v>
      </c>
      <c r="F16" s="5">
        <v>0.34</v>
      </c>
      <c r="G16" s="6">
        <v>60</v>
      </c>
      <c r="H16" s="6" t="s">
        <v>62</v>
      </c>
      <c r="I16" s="6">
        <v>76</v>
      </c>
      <c r="J16" s="6">
        <v>97</v>
      </c>
      <c r="K16" s="6">
        <v>100</v>
      </c>
      <c r="L16" s="6">
        <v>74</v>
      </c>
      <c r="M16" s="6">
        <v>88</v>
      </c>
      <c r="N16" s="6">
        <v>93</v>
      </c>
      <c r="O16" s="6">
        <v>76</v>
      </c>
      <c r="P16" s="6">
        <v>124</v>
      </c>
      <c r="Q16" s="6">
        <v>91</v>
      </c>
      <c r="R16" s="6">
        <v>90</v>
      </c>
      <c r="S16" s="6">
        <v>38</v>
      </c>
      <c r="T16" s="6">
        <v>43</v>
      </c>
      <c r="U16" s="6">
        <v>18</v>
      </c>
      <c r="V16" s="6">
        <v>130</v>
      </c>
      <c r="W16" s="6">
        <v>46</v>
      </c>
      <c r="X16" s="6">
        <v>395</v>
      </c>
      <c r="Y16" s="6">
        <v>188</v>
      </c>
      <c r="Z16" s="6">
        <v>126</v>
      </c>
      <c r="AA16" s="6">
        <v>69</v>
      </c>
      <c r="AB16" s="6">
        <v>30</v>
      </c>
      <c r="AC16" s="6">
        <v>93</v>
      </c>
      <c r="AD16" s="6">
        <v>86</v>
      </c>
      <c r="AE16" s="6">
        <v>186</v>
      </c>
    </row>
    <row r="17" spans="1:31" ht="30.75" thickBot="1" x14ac:dyDescent="0.3">
      <c r="A17" s="3">
        <v>2025</v>
      </c>
      <c r="B17" s="3">
        <v>4</v>
      </c>
      <c r="C17" s="3" t="s">
        <v>58</v>
      </c>
      <c r="D17" s="4" t="s">
        <v>40</v>
      </c>
      <c r="E17" s="3">
        <v>70</v>
      </c>
      <c r="F17" s="5">
        <v>0.36</v>
      </c>
      <c r="G17" s="6" t="s">
        <v>63</v>
      </c>
      <c r="H17" s="6" t="s">
        <v>64</v>
      </c>
      <c r="I17" s="6">
        <v>47</v>
      </c>
      <c r="J17" s="6">
        <v>107</v>
      </c>
      <c r="K17" s="6">
        <v>62</v>
      </c>
      <c r="L17" s="6">
        <v>85</v>
      </c>
      <c r="M17" s="6">
        <v>46</v>
      </c>
      <c r="N17" s="6">
        <v>47</v>
      </c>
      <c r="O17" s="6">
        <v>68</v>
      </c>
      <c r="P17" s="6">
        <v>116</v>
      </c>
      <c r="Q17" s="6">
        <v>52</v>
      </c>
      <c r="R17" s="6">
        <v>58</v>
      </c>
      <c r="S17" s="6">
        <v>65</v>
      </c>
      <c r="T17" s="6">
        <v>58</v>
      </c>
      <c r="U17" s="6">
        <v>102</v>
      </c>
      <c r="V17" s="6">
        <v>87</v>
      </c>
      <c r="W17" s="6">
        <v>63</v>
      </c>
      <c r="X17" s="6">
        <v>485</v>
      </c>
      <c r="Y17" s="6">
        <v>109</v>
      </c>
      <c r="Z17" s="6">
        <v>56</v>
      </c>
      <c r="AA17" s="6">
        <v>83</v>
      </c>
      <c r="AB17" s="6">
        <v>676</v>
      </c>
      <c r="AC17" s="6">
        <v>63</v>
      </c>
      <c r="AD17" s="6">
        <v>206</v>
      </c>
      <c r="AE17" s="6">
        <v>79</v>
      </c>
    </row>
    <row r="18" spans="1:31" ht="30.75" thickBot="1" x14ac:dyDescent="0.3">
      <c r="A18" s="3">
        <v>2025</v>
      </c>
      <c r="B18" s="3">
        <v>5</v>
      </c>
      <c r="C18" s="3" t="s">
        <v>65</v>
      </c>
      <c r="D18" s="4" t="s">
        <v>32</v>
      </c>
      <c r="E18" s="3">
        <v>33</v>
      </c>
      <c r="F18" s="5">
        <v>0.66</v>
      </c>
      <c r="G18" s="6" t="s">
        <v>66</v>
      </c>
      <c r="H18" s="6" t="s">
        <v>67</v>
      </c>
      <c r="I18" s="6">
        <v>43</v>
      </c>
      <c r="J18" s="6">
        <v>77</v>
      </c>
      <c r="K18" s="6">
        <v>96</v>
      </c>
      <c r="L18" s="6">
        <v>104</v>
      </c>
      <c r="M18" s="6">
        <v>59</v>
      </c>
      <c r="N18" s="6">
        <v>99</v>
      </c>
      <c r="O18" s="6">
        <v>129</v>
      </c>
      <c r="P18" s="6">
        <v>88</v>
      </c>
      <c r="Q18" s="6">
        <v>60</v>
      </c>
      <c r="R18" s="6">
        <v>86</v>
      </c>
      <c r="S18" s="6">
        <v>37</v>
      </c>
      <c r="T18" s="6">
        <v>95</v>
      </c>
      <c r="U18" s="6">
        <v>92</v>
      </c>
      <c r="V18" s="6">
        <v>85</v>
      </c>
      <c r="W18" s="6">
        <v>122</v>
      </c>
      <c r="X18" s="6">
        <v>285</v>
      </c>
      <c r="Y18" s="6">
        <v>115</v>
      </c>
      <c r="Z18" s="6">
        <v>397</v>
      </c>
      <c r="AA18" s="6">
        <v>100</v>
      </c>
      <c r="AB18" s="6">
        <v>46</v>
      </c>
      <c r="AC18" s="6">
        <v>34</v>
      </c>
      <c r="AD18" s="6">
        <v>243</v>
      </c>
      <c r="AE18" s="6">
        <v>54</v>
      </c>
    </row>
    <row r="19" spans="1:31" ht="30.75" thickBot="1" x14ac:dyDescent="0.3">
      <c r="A19" s="3">
        <v>2025</v>
      </c>
      <c r="B19" s="3">
        <v>5</v>
      </c>
      <c r="C19" s="3" t="s">
        <v>65</v>
      </c>
      <c r="D19" s="4" t="s">
        <v>35</v>
      </c>
      <c r="E19" s="3">
        <v>48</v>
      </c>
      <c r="F19" s="5">
        <v>0.51</v>
      </c>
      <c r="G19" s="6">
        <v>60</v>
      </c>
      <c r="H19" s="6" t="s">
        <v>53</v>
      </c>
      <c r="I19" s="6">
        <v>81</v>
      </c>
      <c r="J19" s="6">
        <v>62</v>
      </c>
      <c r="K19" s="6">
        <v>60</v>
      </c>
      <c r="L19" s="6">
        <v>50</v>
      </c>
      <c r="M19" s="6">
        <v>90</v>
      </c>
      <c r="N19" s="6">
        <v>64</v>
      </c>
      <c r="O19" s="6">
        <v>83</v>
      </c>
      <c r="P19" s="6">
        <v>80</v>
      </c>
      <c r="Q19" s="6">
        <v>104</v>
      </c>
      <c r="R19" s="6">
        <v>86</v>
      </c>
      <c r="S19" s="6">
        <v>29</v>
      </c>
      <c r="T19" s="6">
        <v>66</v>
      </c>
      <c r="U19" s="6">
        <v>31</v>
      </c>
      <c r="V19" s="6">
        <v>50</v>
      </c>
      <c r="W19" s="6">
        <v>360</v>
      </c>
      <c r="X19" s="6">
        <v>102</v>
      </c>
      <c r="Y19" s="6">
        <v>339</v>
      </c>
      <c r="Z19" s="6">
        <v>186</v>
      </c>
      <c r="AA19" s="6">
        <v>27</v>
      </c>
      <c r="AB19" s="6">
        <v>100</v>
      </c>
      <c r="AC19" s="6">
        <v>16</v>
      </c>
      <c r="AD19" s="6">
        <v>40</v>
      </c>
      <c r="AE19" s="6">
        <v>19</v>
      </c>
    </row>
    <row r="20" spans="1:31" ht="30.75" thickBot="1" x14ac:dyDescent="0.3">
      <c r="A20" s="3">
        <v>2025</v>
      </c>
      <c r="B20" s="3">
        <v>5</v>
      </c>
      <c r="C20" s="3" t="s">
        <v>65</v>
      </c>
      <c r="D20" s="4" t="s">
        <v>38</v>
      </c>
      <c r="E20" s="3">
        <v>66</v>
      </c>
      <c r="F20" s="5">
        <v>0.52</v>
      </c>
      <c r="G20" s="6" t="s">
        <v>68</v>
      </c>
      <c r="H20" s="6" t="s">
        <v>69</v>
      </c>
      <c r="I20" s="6">
        <v>72</v>
      </c>
      <c r="J20" s="6">
        <v>85</v>
      </c>
      <c r="K20" s="6">
        <v>99</v>
      </c>
      <c r="L20" s="6">
        <v>78</v>
      </c>
      <c r="M20" s="6">
        <v>92</v>
      </c>
      <c r="N20" s="6">
        <v>63</v>
      </c>
      <c r="O20" s="6">
        <v>54</v>
      </c>
      <c r="P20" s="6">
        <v>89</v>
      </c>
      <c r="Q20" s="6">
        <v>70</v>
      </c>
      <c r="R20" s="6">
        <v>101</v>
      </c>
      <c r="S20" s="6">
        <v>54</v>
      </c>
      <c r="T20" s="6">
        <v>81</v>
      </c>
      <c r="U20" s="6">
        <v>21</v>
      </c>
      <c r="V20" s="6">
        <v>189</v>
      </c>
      <c r="W20" s="6">
        <v>324</v>
      </c>
      <c r="X20" s="6">
        <v>512</v>
      </c>
      <c r="Y20" s="6">
        <v>44</v>
      </c>
      <c r="Z20" s="6">
        <v>139</v>
      </c>
      <c r="AA20" s="6">
        <v>143</v>
      </c>
      <c r="AB20" s="6">
        <v>86</v>
      </c>
      <c r="AC20" s="6">
        <v>56</v>
      </c>
      <c r="AD20" s="6">
        <v>149</v>
      </c>
      <c r="AE20" s="6">
        <v>53</v>
      </c>
    </row>
    <row r="21" spans="1:31" ht="30.75" thickBot="1" x14ac:dyDescent="0.3">
      <c r="A21" s="3">
        <v>2025</v>
      </c>
      <c r="B21" s="3">
        <v>5</v>
      </c>
      <c r="C21" s="3" t="s">
        <v>65</v>
      </c>
      <c r="D21" s="4" t="s">
        <v>40</v>
      </c>
      <c r="E21" s="3">
        <v>45</v>
      </c>
      <c r="F21" s="5">
        <v>0.7</v>
      </c>
      <c r="G21" s="6" t="s">
        <v>41</v>
      </c>
      <c r="H21" s="6" t="s">
        <v>70</v>
      </c>
      <c r="I21" s="6">
        <v>64</v>
      </c>
      <c r="J21" s="6">
        <v>40</v>
      </c>
      <c r="K21" s="6">
        <v>88</v>
      </c>
      <c r="L21" s="6">
        <v>120</v>
      </c>
      <c r="M21" s="6">
        <v>112</v>
      </c>
      <c r="N21" s="6">
        <v>47</v>
      </c>
      <c r="O21" s="6">
        <v>55</v>
      </c>
      <c r="P21" s="6">
        <v>45</v>
      </c>
      <c r="Q21" s="6">
        <v>53</v>
      </c>
      <c r="R21" s="6">
        <v>86</v>
      </c>
      <c r="S21" s="6">
        <v>41</v>
      </c>
      <c r="T21" s="6">
        <v>45</v>
      </c>
      <c r="U21" s="6">
        <v>76</v>
      </c>
      <c r="V21" s="6">
        <v>374</v>
      </c>
      <c r="W21" s="6">
        <v>96</v>
      </c>
      <c r="X21" s="6">
        <v>220</v>
      </c>
      <c r="Y21" s="6">
        <v>198</v>
      </c>
      <c r="Z21" s="6">
        <v>219</v>
      </c>
      <c r="AA21" s="6">
        <v>130</v>
      </c>
      <c r="AB21" s="6">
        <v>432</v>
      </c>
      <c r="AC21" s="6">
        <v>83</v>
      </c>
      <c r="AD21" s="6">
        <v>130</v>
      </c>
      <c r="AE21" s="6">
        <v>120</v>
      </c>
    </row>
    <row r="22" spans="1:31" ht="30.75" thickBot="1" x14ac:dyDescent="0.3">
      <c r="A22" s="3">
        <v>2025</v>
      </c>
      <c r="B22" s="3">
        <v>6</v>
      </c>
      <c r="C22" s="3" t="s">
        <v>71</v>
      </c>
      <c r="D22" s="4" t="s">
        <v>32</v>
      </c>
      <c r="E22" s="3">
        <v>86</v>
      </c>
      <c r="F22" s="5">
        <v>0.52</v>
      </c>
      <c r="G22" s="6" t="s">
        <v>72</v>
      </c>
      <c r="H22" s="6" t="s">
        <v>51</v>
      </c>
      <c r="I22" s="6">
        <v>28</v>
      </c>
      <c r="J22" s="6">
        <v>50</v>
      </c>
      <c r="K22" s="6">
        <v>105</v>
      </c>
      <c r="L22" s="6">
        <v>117</v>
      </c>
      <c r="M22" s="6">
        <v>108</v>
      </c>
      <c r="N22" s="6">
        <v>44</v>
      </c>
      <c r="O22" s="6">
        <v>76</v>
      </c>
      <c r="P22" s="6">
        <v>87</v>
      </c>
      <c r="Q22" s="6">
        <v>53</v>
      </c>
      <c r="R22" s="6">
        <v>97</v>
      </c>
      <c r="S22" s="6">
        <v>39</v>
      </c>
      <c r="T22" s="6">
        <v>67</v>
      </c>
      <c r="U22" s="6">
        <v>106</v>
      </c>
      <c r="V22" s="6">
        <v>28</v>
      </c>
      <c r="W22" s="6">
        <v>147</v>
      </c>
      <c r="X22" s="6">
        <v>265</v>
      </c>
      <c r="Y22" s="6">
        <v>59</v>
      </c>
      <c r="Z22" s="6">
        <v>54</v>
      </c>
      <c r="AA22" s="6">
        <v>98</v>
      </c>
      <c r="AB22" s="6">
        <v>212</v>
      </c>
      <c r="AC22" s="6">
        <v>35</v>
      </c>
      <c r="AD22" s="6">
        <v>39</v>
      </c>
      <c r="AE22" s="6">
        <v>23</v>
      </c>
    </row>
    <row r="23" spans="1:31" ht="30.75" thickBot="1" x14ac:dyDescent="0.3">
      <c r="A23" s="3">
        <v>2025</v>
      </c>
      <c r="B23" s="3">
        <v>6</v>
      </c>
      <c r="C23" s="3" t="s">
        <v>71</v>
      </c>
      <c r="D23" s="4" t="s">
        <v>35</v>
      </c>
      <c r="E23" s="3">
        <v>74</v>
      </c>
      <c r="F23" s="5">
        <v>0.51</v>
      </c>
      <c r="G23" s="6" t="s">
        <v>73</v>
      </c>
      <c r="H23" s="6" t="s">
        <v>64</v>
      </c>
      <c r="I23" s="6">
        <v>79</v>
      </c>
      <c r="J23" s="6">
        <v>51</v>
      </c>
      <c r="K23" s="6">
        <v>88</v>
      </c>
      <c r="L23" s="6">
        <v>104</v>
      </c>
      <c r="M23" s="6">
        <v>78</v>
      </c>
      <c r="N23" s="6">
        <v>105</v>
      </c>
      <c r="O23" s="6">
        <v>128</v>
      </c>
      <c r="P23" s="6">
        <v>54</v>
      </c>
      <c r="Q23" s="6">
        <v>95</v>
      </c>
      <c r="R23" s="6">
        <v>72</v>
      </c>
      <c r="S23" s="6">
        <v>46</v>
      </c>
      <c r="T23" s="6">
        <v>71</v>
      </c>
      <c r="U23" s="6">
        <v>117</v>
      </c>
      <c r="V23" s="6">
        <v>85</v>
      </c>
      <c r="W23" s="6">
        <v>106</v>
      </c>
      <c r="X23" s="6">
        <v>72</v>
      </c>
      <c r="Y23" s="6">
        <v>136</v>
      </c>
      <c r="Z23" s="6">
        <v>393</v>
      </c>
      <c r="AA23" s="6">
        <v>23</v>
      </c>
      <c r="AB23" s="6">
        <v>352</v>
      </c>
      <c r="AC23" s="6">
        <v>38</v>
      </c>
      <c r="AD23" s="6">
        <v>157</v>
      </c>
      <c r="AE23" s="6">
        <v>83</v>
      </c>
    </row>
    <row r="24" spans="1:31" ht="30.75" thickBot="1" x14ac:dyDescent="0.3">
      <c r="A24" s="3">
        <v>2025</v>
      </c>
      <c r="B24" s="3">
        <v>6</v>
      </c>
      <c r="C24" s="3" t="s">
        <v>71</v>
      </c>
      <c r="D24" s="4" t="s">
        <v>38</v>
      </c>
      <c r="E24" s="3">
        <v>46</v>
      </c>
      <c r="F24" s="5">
        <v>0.37</v>
      </c>
      <c r="G24" s="6" t="s">
        <v>54</v>
      </c>
      <c r="H24" s="6" t="s">
        <v>74</v>
      </c>
      <c r="I24" s="6">
        <v>60</v>
      </c>
      <c r="J24" s="6">
        <v>103</v>
      </c>
      <c r="K24" s="6">
        <v>72</v>
      </c>
      <c r="L24" s="6">
        <v>60</v>
      </c>
      <c r="M24" s="6">
        <v>61</v>
      </c>
      <c r="N24" s="6">
        <v>50</v>
      </c>
      <c r="O24" s="6">
        <v>71</v>
      </c>
      <c r="P24" s="6">
        <v>114</v>
      </c>
      <c r="Q24" s="6">
        <v>88</v>
      </c>
      <c r="R24" s="6">
        <v>86</v>
      </c>
      <c r="S24" s="6">
        <v>30</v>
      </c>
      <c r="T24" s="6">
        <v>38</v>
      </c>
      <c r="U24" s="6">
        <v>27</v>
      </c>
      <c r="V24" s="6">
        <v>312</v>
      </c>
      <c r="W24" s="6">
        <v>89</v>
      </c>
      <c r="X24" s="6">
        <v>470</v>
      </c>
      <c r="Y24" s="6">
        <v>132</v>
      </c>
      <c r="Z24" s="6">
        <v>308</v>
      </c>
      <c r="AA24" s="6">
        <v>40</v>
      </c>
      <c r="AB24" s="6">
        <v>386</v>
      </c>
      <c r="AC24" s="6">
        <v>242</v>
      </c>
      <c r="AD24" s="6">
        <v>64</v>
      </c>
      <c r="AE24" s="6">
        <v>25</v>
      </c>
    </row>
    <row r="25" spans="1:31" ht="30.75" thickBot="1" x14ac:dyDescent="0.3">
      <c r="A25" s="3">
        <v>2025</v>
      </c>
      <c r="B25" s="3">
        <v>6</v>
      </c>
      <c r="C25" s="3" t="s">
        <v>71</v>
      </c>
      <c r="D25" s="4" t="s">
        <v>40</v>
      </c>
      <c r="E25" s="3">
        <v>30</v>
      </c>
      <c r="F25" s="5">
        <v>0.57999999999999996</v>
      </c>
      <c r="G25" s="6" t="s">
        <v>75</v>
      </c>
      <c r="H25" s="6" t="s">
        <v>74</v>
      </c>
      <c r="I25" s="6">
        <v>70</v>
      </c>
      <c r="J25" s="6">
        <v>39</v>
      </c>
      <c r="K25" s="6">
        <v>40</v>
      </c>
      <c r="L25" s="6">
        <v>140</v>
      </c>
      <c r="M25" s="6">
        <v>49</v>
      </c>
      <c r="N25" s="6">
        <v>47</v>
      </c>
      <c r="O25" s="6">
        <v>115</v>
      </c>
      <c r="P25" s="6">
        <v>50</v>
      </c>
      <c r="Q25" s="6">
        <v>55</v>
      </c>
      <c r="R25" s="6">
        <v>39</v>
      </c>
      <c r="S25" s="6">
        <v>26</v>
      </c>
      <c r="T25" s="6">
        <v>97</v>
      </c>
      <c r="U25" s="6">
        <v>70</v>
      </c>
      <c r="V25" s="6">
        <v>354</v>
      </c>
      <c r="W25" s="6">
        <v>222</v>
      </c>
      <c r="X25" s="6">
        <v>562</v>
      </c>
      <c r="Y25" s="6">
        <v>337</v>
      </c>
      <c r="Z25" s="6">
        <v>101</v>
      </c>
      <c r="AA25" s="6">
        <v>35</v>
      </c>
      <c r="AB25" s="6">
        <v>194</v>
      </c>
      <c r="AC25" s="6">
        <v>21</v>
      </c>
      <c r="AD25" s="6">
        <v>119</v>
      </c>
      <c r="AE25" s="6">
        <v>8</v>
      </c>
    </row>
    <row r="26" spans="1:31" ht="30.75" thickBot="1" x14ac:dyDescent="0.3">
      <c r="A26" s="3">
        <v>2025</v>
      </c>
      <c r="B26" s="3">
        <v>7</v>
      </c>
      <c r="C26" s="3" t="s">
        <v>76</v>
      </c>
      <c r="D26" s="4" t="s">
        <v>32</v>
      </c>
      <c r="E26" s="3">
        <v>102</v>
      </c>
      <c r="F26" s="5">
        <v>0.76</v>
      </c>
      <c r="G26" s="6" t="s">
        <v>77</v>
      </c>
      <c r="H26" s="6" t="s">
        <v>78</v>
      </c>
      <c r="I26" s="6">
        <v>39</v>
      </c>
      <c r="J26" s="6">
        <v>79</v>
      </c>
      <c r="K26" s="6">
        <v>71</v>
      </c>
      <c r="L26" s="6">
        <v>131</v>
      </c>
      <c r="M26" s="6">
        <v>101</v>
      </c>
      <c r="N26" s="6">
        <v>128</v>
      </c>
      <c r="O26" s="6">
        <v>46</v>
      </c>
      <c r="P26" s="6">
        <v>101</v>
      </c>
      <c r="Q26" s="6">
        <v>75</v>
      </c>
      <c r="R26" s="6">
        <v>87</v>
      </c>
      <c r="S26" s="6">
        <v>41</v>
      </c>
      <c r="T26" s="6">
        <v>73</v>
      </c>
      <c r="U26" s="6">
        <v>120</v>
      </c>
      <c r="V26" s="6">
        <v>206</v>
      </c>
      <c r="W26" s="6">
        <v>144</v>
      </c>
      <c r="X26" s="6">
        <v>195</v>
      </c>
      <c r="Y26" s="6">
        <v>39</v>
      </c>
      <c r="Z26" s="6">
        <v>76</v>
      </c>
      <c r="AA26" s="6">
        <v>57</v>
      </c>
      <c r="AB26" s="6">
        <v>188</v>
      </c>
      <c r="AC26" s="6">
        <v>364</v>
      </c>
      <c r="AD26" s="6">
        <v>21</v>
      </c>
      <c r="AE26" s="6">
        <v>118</v>
      </c>
    </row>
    <row r="27" spans="1:31" ht="30.75" thickBot="1" x14ac:dyDescent="0.3">
      <c r="A27" s="3">
        <v>2025</v>
      </c>
      <c r="B27" s="3">
        <v>7</v>
      </c>
      <c r="C27" s="3" t="s">
        <v>76</v>
      </c>
      <c r="D27" s="4" t="s">
        <v>35</v>
      </c>
      <c r="E27" s="3">
        <v>84</v>
      </c>
      <c r="F27" s="5">
        <v>0.6</v>
      </c>
      <c r="G27" s="6">
        <v>105</v>
      </c>
      <c r="H27" s="6" t="s">
        <v>79</v>
      </c>
      <c r="I27" s="6">
        <v>66</v>
      </c>
      <c r="J27" s="6">
        <v>75</v>
      </c>
      <c r="K27" s="6">
        <v>88</v>
      </c>
      <c r="L27" s="6">
        <v>77</v>
      </c>
      <c r="M27" s="6">
        <v>100</v>
      </c>
      <c r="N27" s="6">
        <v>97</v>
      </c>
      <c r="O27" s="6">
        <v>79</v>
      </c>
      <c r="P27" s="6">
        <v>91</v>
      </c>
      <c r="Q27" s="6">
        <v>124</v>
      </c>
      <c r="R27" s="6">
        <v>94</v>
      </c>
      <c r="S27" s="6">
        <v>49</v>
      </c>
      <c r="T27" s="6">
        <v>73</v>
      </c>
      <c r="U27" s="6">
        <v>25</v>
      </c>
      <c r="V27" s="6">
        <v>202</v>
      </c>
      <c r="W27" s="6">
        <v>76</v>
      </c>
      <c r="X27" s="6">
        <v>395</v>
      </c>
      <c r="Y27" s="6">
        <v>10</v>
      </c>
      <c r="Z27" s="6">
        <v>53</v>
      </c>
      <c r="AA27" s="6">
        <v>119</v>
      </c>
      <c r="AB27" s="6">
        <v>240</v>
      </c>
      <c r="AC27" s="6">
        <v>282</v>
      </c>
      <c r="AD27" s="6">
        <v>116</v>
      </c>
      <c r="AE27" s="6">
        <v>68</v>
      </c>
    </row>
    <row r="28" spans="1:31" ht="30.75" thickBot="1" x14ac:dyDescent="0.3">
      <c r="A28" s="3">
        <v>2025</v>
      </c>
      <c r="B28" s="3">
        <v>7</v>
      </c>
      <c r="C28" s="3" t="s">
        <v>76</v>
      </c>
      <c r="D28" s="4" t="s">
        <v>38</v>
      </c>
      <c r="E28" s="3">
        <v>54</v>
      </c>
      <c r="F28" s="5">
        <v>0.44</v>
      </c>
      <c r="G28" s="6" t="s">
        <v>36</v>
      </c>
      <c r="H28" s="6" t="s">
        <v>80</v>
      </c>
      <c r="I28" s="6">
        <v>37</v>
      </c>
      <c r="J28" s="6">
        <v>86</v>
      </c>
      <c r="K28" s="6">
        <v>101</v>
      </c>
      <c r="L28" s="6">
        <v>113</v>
      </c>
      <c r="M28" s="6">
        <v>55</v>
      </c>
      <c r="N28" s="6">
        <v>92</v>
      </c>
      <c r="O28" s="6">
        <v>134</v>
      </c>
      <c r="P28" s="6">
        <v>74</v>
      </c>
      <c r="Q28" s="6">
        <v>133</v>
      </c>
      <c r="R28" s="6">
        <v>74</v>
      </c>
      <c r="S28" s="6">
        <v>68</v>
      </c>
      <c r="T28" s="6">
        <v>96</v>
      </c>
      <c r="U28" s="6">
        <v>125</v>
      </c>
      <c r="V28" s="6">
        <v>319</v>
      </c>
      <c r="W28" s="6">
        <v>80</v>
      </c>
      <c r="X28" s="6">
        <v>172</v>
      </c>
      <c r="Y28" s="6">
        <v>108</v>
      </c>
      <c r="Z28" s="6">
        <v>122</v>
      </c>
      <c r="AA28" s="6">
        <v>86</v>
      </c>
      <c r="AB28" s="6">
        <v>152</v>
      </c>
      <c r="AC28" s="6">
        <v>25</v>
      </c>
      <c r="AD28" s="6">
        <v>220</v>
      </c>
      <c r="AE28" s="6">
        <v>165</v>
      </c>
    </row>
    <row r="29" spans="1:31" ht="30.75" thickBot="1" x14ac:dyDescent="0.3">
      <c r="A29" s="3">
        <v>2025</v>
      </c>
      <c r="B29" s="3">
        <v>7</v>
      </c>
      <c r="C29" s="3" t="s">
        <v>76</v>
      </c>
      <c r="D29" s="4" t="s">
        <v>40</v>
      </c>
      <c r="E29" s="3">
        <v>100</v>
      </c>
      <c r="F29" s="5">
        <v>0.79</v>
      </c>
      <c r="G29" s="6">
        <v>125</v>
      </c>
      <c r="H29" s="6">
        <v>42</v>
      </c>
      <c r="I29" s="6">
        <v>61</v>
      </c>
      <c r="J29" s="6">
        <v>112</v>
      </c>
      <c r="K29" s="6">
        <v>94</v>
      </c>
      <c r="L29" s="6">
        <v>104</v>
      </c>
      <c r="M29" s="6">
        <v>52</v>
      </c>
      <c r="N29" s="6">
        <v>122</v>
      </c>
      <c r="O29" s="6">
        <v>112</v>
      </c>
      <c r="P29" s="6">
        <v>62</v>
      </c>
      <c r="Q29" s="6">
        <v>148</v>
      </c>
      <c r="R29" s="6">
        <v>51</v>
      </c>
      <c r="S29" s="6">
        <v>35</v>
      </c>
      <c r="T29" s="6">
        <v>69</v>
      </c>
      <c r="U29" s="6">
        <v>110</v>
      </c>
      <c r="V29" s="6">
        <v>182</v>
      </c>
      <c r="W29" s="6">
        <v>315</v>
      </c>
      <c r="X29" s="6">
        <v>17</v>
      </c>
      <c r="Y29" s="6">
        <v>15</v>
      </c>
      <c r="Z29" s="6">
        <v>214</v>
      </c>
      <c r="AA29" s="6">
        <v>75</v>
      </c>
      <c r="AB29" s="6">
        <v>752</v>
      </c>
      <c r="AC29" s="6">
        <v>84</v>
      </c>
      <c r="AD29" s="6">
        <v>158</v>
      </c>
      <c r="AE29" s="6">
        <v>182</v>
      </c>
    </row>
    <row r="30" spans="1:31" ht="30.75" thickBot="1" x14ac:dyDescent="0.3">
      <c r="A30" s="3">
        <v>2025</v>
      </c>
      <c r="B30" s="3">
        <v>8</v>
      </c>
      <c r="C30" s="3" t="s">
        <v>81</v>
      </c>
      <c r="D30" s="4" t="s">
        <v>32</v>
      </c>
      <c r="E30" s="3">
        <v>90</v>
      </c>
      <c r="F30" s="5">
        <v>0.55000000000000004</v>
      </c>
      <c r="G30" s="6" t="s">
        <v>82</v>
      </c>
      <c r="H30" s="6" t="s">
        <v>62</v>
      </c>
      <c r="I30" s="6">
        <v>80</v>
      </c>
      <c r="J30" s="6">
        <v>89</v>
      </c>
      <c r="K30" s="6">
        <v>44</v>
      </c>
      <c r="L30" s="6">
        <v>113</v>
      </c>
      <c r="M30" s="6">
        <v>44</v>
      </c>
      <c r="N30" s="6">
        <v>45</v>
      </c>
      <c r="O30" s="6">
        <v>134</v>
      </c>
      <c r="P30" s="6">
        <v>110</v>
      </c>
      <c r="Q30" s="6">
        <v>126</v>
      </c>
      <c r="R30" s="6">
        <v>52</v>
      </c>
      <c r="S30" s="6">
        <v>46</v>
      </c>
      <c r="T30" s="6">
        <v>88</v>
      </c>
      <c r="U30" s="6">
        <v>38</v>
      </c>
      <c r="V30" s="6">
        <v>232</v>
      </c>
      <c r="W30" s="6">
        <v>40</v>
      </c>
      <c r="X30" s="6">
        <v>192</v>
      </c>
      <c r="Y30" s="6">
        <v>30</v>
      </c>
      <c r="Z30" s="6">
        <v>241</v>
      </c>
      <c r="AA30" s="6">
        <v>263</v>
      </c>
      <c r="AB30" s="6">
        <v>452</v>
      </c>
      <c r="AC30" s="6">
        <v>95</v>
      </c>
      <c r="AD30" s="6">
        <v>62</v>
      </c>
      <c r="AE30" s="6">
        <v>53</v>
      </c>
    </row>
    <row r="31" spans="1:31" ht="30.75" thickBot="1" x14ac:dyDescent="0.3">
      <c r="A31" s="3">
        <v>2025</v>
      </c>
      <c r="B31" s="3">
        <v>8</v>
      </c>
      <c r="C31" s="3" t="s">
        <v>81</v>
      </c>
      <c r="D31" s="4" t="s">
        <v>35</v>
      </c>
      <c r="E31" s="3">
        <v>98</v>
      </c>
      <c r="F31" s="5">
        <v>0.34</v>
      </c>
      <c r="G31" s="6" t="s">
        <v>83</v>
      </c>
      <c r="H31" s="6" t="s">
        <v>57</v>
      </c>
      <c r="I31" s="6">
        <v>58</v>
      </c>
      <c r="J31" s="6">
        <v>65</v>
      </c>
      <c r="K31" s="6">
        <v>53</v>
      </c>
      <c r="L31" s="6">
        <v>134</v>
      </c>
      <c r="M31" s="6">
        <v>93</v>
      </c>
      <c r="N31" s="6">
        <v>125</v>
      </c>
      <c r="O31" s="6">
        <v>125</v>
      </c>
      <c r="P31" s="6">
        <v>63</v>
      </c>
      <c r="Q31" s="6">
        <v>142</v>
      </c>
      <c r="R31" s="6">
        <v>53</v>
      </c>
      <c r="S31" s="6">
        <v>56</v>
      </c>
      <c r="T31" s="6">
        <v>91</v>
      </c>
      <c r="U31" s="6">
        <v>68</v>
      </c>
      <c r="V31" s="6">
        <v>85</v>
      </c>
      <c r="W31" s="6">
        <v>138</v>
      </c>
      <c r="X31" s="6">
        <v>110</v>
      </c>
      <c r="Y31" s="6">
        <v>39</v>
      </c>
      <c r="Z31" s="6">
        <v>140</v>
      </c>
      <c r="AA31" s="6">
        <v>135</v>
      </c>
      <c r="AB31" s="6">
        <v>594</v>
      </c>
      <c r="AC31" s="6">
        <v>76</v>
      </c>
      <c r="AD31" s="6">
        <v>164</v>
      </c>
      <c r="AE31" s="6">
        <v>31</v>
      </c>
    </row>
    <row r="32" spans="1:31" ht="30.75" thickBot="1" x14ac:dyDescent="0.3">
      <c r="A32" s="3">
        <v>2025</v>
      </c>
      <c r="B32" s="3">
        <v>8</v>
      </c>
      <c r="C32" s="3" t="s">
        <v>81</v>
      </c>
      <c r="D32" s="4" t="s">
        <v>38</v>
      </c>
      <c r="E32" s="3">
        <v>89</v>
      </c>
      <c r="F32" s="5">
        <v>0.3</v>
      </c>
      <c r="G32" s="6" t="s">
        <v>84</v>
      </c>
      <c r="H32" s="6" t="s">
        <v>60</v>
      </c>
      <c r="I32" s="6">
        <v>50</v>
      </c>
      <c r="J32" s="6">
        <v>97</v>
      </c>
      <c r="K32" s="6">
        <v>97</v>
      </c>
      <c r="L32" s="6">
        <v>110</v>
      </c>
      <c r="M32" s="6">
        <v>102</v>
      </c>
      <c r="N32" s="6">
        <v>122</v>
      </c>
      <c r="O32" s="6">
        <v>115</v>
      </c>
      <c r="P32" s="6">
        <v>123</v>
      </c>
      <c r="Q32" s="6">
        <v>87</v>
      </c>
      <c r="R32" s="6">
        <v>50</v>
      </c>
      <c r="S32" s="6">
        <v>58</v>
      </c>
      <c r="T32" s="6">
        <v>94</v>
      </c>
      <c r="U32" s="6">
        <v>112</v>
      </c>
      <c r="V32" s="6">
        <v>104</v>
      </c>
      <c r="W32" s="6">
        <v>116</v>
      </c>
      <c r="X32" s="6">
        <v>730</v>
      </c>
      <c r="Y32" s="6">
        <v>334</v>
      </c>
      <c r="Z32" s="6">
        <v>44</v>
      </c>
      <c r="AA32" s="6">
        <v>86</v>
      </c>
      <c r="AB32" s="6">
        <v>124</v>
      </c>
      <c r="AC32" s="6">
        <v>162</v>
      </c>
      <c r="AD32" s="6">
        <v>184</v>
      </c>
      <c r="AE32" s="6">
        <v>23</v>
      </c>
    </row>
    <row r="33" spans="1:31" ht="30.75" thickBot="1" x14ac:dyDescent="0.3">
      <c r="A33" s="3">
        <v>2025</v>
      </c>
      <c r="B33" s="3">
        <v>8</v>
      </c>
      <c r="C33" s="3" t="s">
        <v>81</v>
      </c>
      <c r="D33" s="4" t="s">
        <v>40</v>
      </c>
      <c r="E33" s="3">
        <v>75</v>
      </c>
      <c r="F33" s="5">
        <v>0.71</v>
      </c>
      <c r="G33" s="6" t="s">
        <v>85</v>
      </c>
      <c r="H33" s="6" t="s">
        <v>86</v>
      </c>
      <c r="I33" s="6">
        <v>47</v>
      </c>
      <c r="J33" s="6">
        <v>63</v>
      </c>
      <c r="K33" s="6">
        <v>80</v>
      </c>
      <c r="L33" s="6">
        <v>121</v>
      </c>
      <c r="M33" s="6">
        <v>60</v>
      </c>
      <c r="N33" s="6">
        <v>124</v>
      </c>
      <c r="O33" s="6">
        <v>98</v>
      </c>
      <c r="P33" s="6">
        <v>85</v>
      </c>
      <c r="Q33" s="6">
        <v>79</v>
      </c>
      <c r="R33" s="6">
        <v>38</v>
      </c>
      <c r="S33" s="6">
        <v>50</v>
      </c>
      <c r="T33" s="6">
        <v>94</v>
      </c>
      <c r="U33" s="6">
        <v>102</v>
      </c>
      <c r="V33" s="6">
        <v>39</v>
      </c>
      <c r="W33" s="6">
        <v>205</v>
      </c>
      <c r="X33" s="6">
        <v>197</v>
      </c>
      <c r="Y33" s="6">
        <v>49</v>
      </c>
      <c r="Z33" s="6">
        <v>150</v>
      </c>
      <c r="AA33" s="6">
        <v>276</v>
      </c>
      <c r="AB33" s="6">
        <v>422</v>
      </c>
      <c r="AC33" s="6">
        <v>56</v>
      </c>
      <c r="AD33" s="6">
        <v>205</v>
      </c>
      <c r="AE33" s="6">
        <v>9</v>
      </c>
    </row>
    <row r="34" spans="1:31" ht="30.75" thickBot="1" x14ac:dyDescent="0.3">
      <c r="A34" s="3">
        <v>2025</v>
      </c>
      <c r="B34" s="3">
        <v>9</v>
      </c>
      <c r="C34" s="3" t="s">
        <v>87</v>
      </c>
      <c r="D34" s="4" t="s">
        <v>32</v>
      </c>
      <c r="E34" s="3">
        <v>72</v>
      </c>
      <c r="F34" s="5">
        <v>0.43</v>
      </c>
      <c r="G34" s="6">
        <v>90</v>
      </c>
      <c r="H34" s="6" t="s">
        <v>88</v>
      </c>
      <c r="I34" s="6">
        <v>78</v>
      </c>
      <c r="J34" s="6">
        <v>85</v>
      </c>
      <c r="K34" s="6">
        <v>78</v>
      </c>
      <c r="L34" s="6">
        <v>83</v>
      </c>
      <c r="M34" s="6">
        <v>54</v>
      </c>
      <c r="N34" s="6">
        <v>86</v>
      </c>
      <c r="O34" s="6">
        <v>60</v>
      </c>
      <c r="P34" s="6">
        <v>62</v>
      </c>
      <c r="Q34" s="6">
        <v>57</v>
      </c>
      <c r="R34" s="6">
        <v>71</v>
      </c>
      <c r="S34" s="6">
        <v>64</v>
      </c>
      <c r="T34" s="6">
        <v>46</v>
      </c>
      <c r="U34" s="6">
        <v>96</v>
      </c>
      <c r="V34" s="6">
        <v>417</v>
      </c>
      <c r="W34" s="6">
        <v>28</v>
      </c>
      <c r="X34" s="6">
        <v>275</v>
      </c>
      <c r="Y34" s="6">
        <v>359</v>
      </c>
      <c r="Z34" s="6">
        <v>192</v>
      </c>
      <c r="AA34" s="6">
        <v>149</v>
      </c>
      <c r="AB34" s="6">
        <v>50</v>
      </c>
      <c r="AC34" s="6">
        <v>200</v>
      </c>
      <c r="AD34" s="6">
        <v>9</v>
      </c>
      <c r="AE34" s="6">
        <v>20</v>
      </c>
    </row>
    <row r="35" spans="1:31" ht="30.75" thickBot="1" x14ac:dyDescent="0.3">
      <c r="A35" s="3">
        <v>2025</v>
      </c>
      <c r="B35" s="3">
        <v>9</v>
      </c>
      <c r="C35" s="3" t="s">
        <v>87</v>
      </c>
      <c r="D35" s="4" t="s">
        <v>35</v>
      </c>
      <c r="E35" s="3">
        <v>52</v>
      </c>
      <c r="F35" s="5">
        <v>0.54</v>
      </c>
      <c r="G35" s="6">
        <v>65</v>
      </c>
      <c r="H35" s="6" t="s">
        <v>45</v>
      </c>
      <c r="I35" s="6">
        <v>51</v>
      </c>
      <c r="J35" s="6">
        <v>107</v>
      </c>
      <c r="K35" s="6">
        <v>66</v>
      </c>
      <c r="L35" s="6">
        <v>96</v>
      </c>
      <c r="M35" s="6">
        <v>85</v>
      </c>
      <c r="N35" s="6">
        <v>78</v>
      </c>
      <c r="O35" s="6">
        <v>124</v>
      </c>
      <c r="P35" s="6">
        <v>60</v>
      </c>
      <c r="Q35" s="6">
        <v>59</v>
      </c>
      <c r="R35" s="6">
        <v>79</v>
      </c>
      <c r="S35" s="6">
        <v>30</v>
      </c>
      <c r="T35" s="6">
        <v>70</v>
      </c>
      <c r="U35" s="6">
        <v>36</v>
      </c>
      <c r="V35" s="6">
        <v>136</v>
      </c>
      <c r="W35" s="6">
        <v>315</v>
      </c>
      <c r="X35" s="6">
        <v>725</v>
      </c>
      <c r="Y35" s="6">
        <v>80</v>
      </c>
      <c r="Z35" s="6">
        <v>199</v>
      </c>
      <c r="AA35" s="6">
        <v>90</v>
      </c>
      <c r="AB35" s="6">
        <v>320</v>
      </c>
      <c r="AC35" s="6">
        <v>44</v>
      </c>
      <c r="AD35" s="6">
        <v>207</v>
      </c>
      <c r="AE35" s="6">
        <v>11</v>
      </c>
    </row>
    <row r="36" spans="1:31" ht="30.75" thickBot="1" x14ac:dyDescent="0.3">
      <c r="A36" s="3">
        <v>2025</v>
      </c>
      <c r="B36" s="3">
        <v>9</v>
      </c>
      <c r="C36" s="3" t="s">
        <v>87</v>
      </c>
      <c r="D36" s="4" t="s">
        <v>38</v>
      </c>
      <c r="E36" s="3">
        <v>56</v>
      </c>
      <c r="F36" s="5">
        <v>0.51</v>
      </c>
      <c r="G36" s="6">
        <v>70</v>
      </c>
      <c r="H36" s="6" t="s">
        <v>45</v>
      </c>
      <c r="I36" s="6">
        <v>29</v>
      </c>
      <c r="J36" s="6">
        <v>88</v>
      </c>
      <c r="K36" s="6">
        <v>39</v>
      </c>
      <c r="L36" s="6">
        <v>119</v>
      </c>
      <c r="M36" s="6">
        <v>90</v>
      </c>
      <c r="N36" s="6">
        <v>70</v>
      </c>
      <c r="O36" s="6">
        <v>56</v>
      </c>
      <c r="P36" s="6">
        <v>61</v>
      </c>
      <c r="Q36" s="6">
        <v>130</v>
      </c>
      <c r="R36" s="6">
        <v>43</v>
      </c>
      <c r="S36" s="6">
        <v>55</v>
      </c>
      <c r="T36" s="6">
        <v>97</v>
      </c>
      <c r="U36" s="6">
        <v>96</v>
      </c>
      <c r="V36" s="6">
        <v>343</v>
      </c>
      <c r="W36" s="6">
        <v>284</v>
      </c>
      <c r="X36" s="6">
        <v>190</v>
      </c>
      <c r="Y36" s="6">
        <v>120</v>
      </c>
      <c r="Z36" s="6">
        <v>288</v>
      </c>
      <c r="AA36" s="6">
        <v>48</v>
      </c>
      <c r="AB36" s="6">
        <v>148</v>
      </c>
      <c r="AC36" s="6">
        <v>98</v>
      </c>
      <c r="AD36" s="6">
        <v>131</v>
      </c>
      <c r="AE36" s="6">
        <v>60</v>
      </c>
    </row>
    <row r="37" spans="1:31" ht="30.75" thickBot="1" x14ac:dyDescent="0.3">
      <c r="A37" s="3">
        <v>2025</v>
      </c>
      <c r="B37" s="3">
        <v>9</v>
      </c>
      <c r="C37" s="3" t="s">
        <v>87</v>
      </c>
      <c r="D37" s="4" t="s">
        <v>40</v>
      </c>
      <c r="E37" s="3">
        <v>40</v>
      </c>
      <c r="F37" s="5">
        <v>0.79</v>
      </c>
      <c r="G37" s="6">
        <v>50</v>
      </c>
      <c r="H37" s="6" t="s">
        <v>89</v>
      </c>
      <c r="I37" s="6">
        <v>63</v>
      </c>
      <c r="J37" s="6">
        <v>99</v>
      </c>
      <c r="K37" s="6">
        <v>35</v>
      </c>
      <c r="L37" s="6">
        <v>85</v>
      </c>
      <c r="M37" s="6">
        <v>71</v>
      </c>
      <c r="N37" s="6">
        <v>67</v>
      </c>
      <c r="O37" s="6">
        <v>62</v>
      </c>
      <c r="P37" s="6">
        <v>126</v>
      </c>
      <c r="Q37" s="6">
        <v>122</v>
      </c>
      <c r="R37" s="6">
        <v>50</v>
      </c>
      <c r="S37" s="6">
        <v>60</v>
      </c>
      <c r="T37" s="6">
        <v>75</v>
      </c>
      <c r="U37" s="6">
        <v>52</v>
      </c>
      <c r="V37" s="6">
        <v>417</v>
      </c>
      <c r="W37" s="6">
        <v>141</v>
      </c>
      <c r="X37" s="6">
        <v>840</v>
      </c>
      <c r="Y37" s="6">
        <v>187</v>
      </c>
      <c r="Z37" s="6">
        <v>100</v>
      </c>
      <c r="AA37" s="6">
        <v>86</v>
      </c>
      <c r="AB37" s="6">
        <v>44</v>
      </c>
      <c r="AC37" s="6">
        <v>56</v>
      </c>
      <c r="AD37" s="6">
        <v>160</v>
      </c>
      <c r="AE37" s="6">
        <v>50</v>
      </c>
    </row>
    <row r="38" spans="1:31" ht="30.75" thickBot="1" x14ac:dyDescent="0.3">
      <c r="A38" s="3">
        <v>2025</v>
      </c>
      <c r="B38" s="3">
        <v>10</v>
      </c>
      <c r="C38" s="3" t="s">
        <v>90</v>
      </c>
      <c r="D38" s="4" t="s">
        <v>32</v>
      </c>
      <c r="E38" s="3">
        <v>74</v>
      </c>
      <c r="F38" s="5">
        <v>0.69</v>
      </c>
      <c r="G38" s="6" t="s">
        <v>73</v>
      </c>
      <c r="H38" s="6" t="s">
        <v>88</v>
      </c>
      <c r="I38" s="6">
        <v>67</v>
      </c>
      <c r="J38" s="6">
        <v>99</v>
      </c>
      <c r="K38" s="6">
        <v>40</v>
      </c>
      <c r="L38" s="6">
        <v>80</v>
      </c>
      <c r="M38" s="6">
        <v>93</v>
      </c>
      <c r="N38" s="6">
        <v>111</v>
      </c>
      <c r="O38" s="6">
        <v>134</v>
      </c>
      <c r="P38" s="6">
        <v>111</v>
      </c>
      <c r="Q38" s="6">
        <v>126</v>
      </c>
      <c r="R38" s="6">
        <v>60</v>
      </c>
      <c r="S38" s="6">
        <v>60</v>
      </c>
      <c r="T38" s="6">
        <v>56</v>
      </c>
      <c r="U38" s="6">
        <v>134</v>
      </c>
      <c r="V38" s="6">
        <v>172</v>
      </c>
      <c r="W38" s="6">
        <v>54</v>
      </c>
      <c r="X38" s="6">
        <v>937</v>
      </c>
      <c r="Y38" s="6">
        <v>98</v>
      </c>
      <c r="Z38" s="6">
        <v>211</v>
      </c>
      <c r="AA38" s="6">
        <v>215</v>
      </c>
      <c r="AB38" s="6">
        <v>44</v>
      </c>
      <c r="AC38" s="6">
        <v>68</v>
      </c>
      <c r="AD38" s="6">
        <v>21</v>
      </c>
      <c r="AE38" s="6">
        <v>25</v>
      </c>
    </row>
    <row r="39" spans="1:31" ht="30.75" thickBot="1" x14ac:dyDescent="0.3">
      <c r="A39" s="3">
        <v>2025</v>
      </c>
      <c r="B39" s="3">
        <v>10</v>
      </c>
      <c r="C39" s="3" t="s">
        <v>90</v>
      </c>
      <c r="D39" s="4" t="s">
        <v>35</v>
      </c>
      <c r="E39" s="3">
        <v>22</v>
      </c>
      <c r="F39" s="5">
        <v>0.46</v>
      </c>
      <c r="G39" s="6" t="s">
        <v>44</v>
      </c>
      <c r="H39" s="6" t="s">
        <v>80</v>
      </c>
      <c r="I39" s="6">
        <v>36</v>
      </c>
      <c r="J39" s="6">
        <v>77</v>
      </c>
      <c r="K39" s="6">
        <v>90</v>
      </c>
      <c r="L39" s="6">
        <v>90</v>
      </c>
      <c r="M39" s="6">
        <v>39</v>
      </c>
      <c r="N39" s="6">
        <v>68</v>
      </c>
      <c r="O39" s="6">
        <v>90</v>
      </c>
      <c r="P39" s="6">
        <v>106</v>
      </c>
      <c r="Q39" s="6">
        <v>68</v>
      </c>
      <c r="R39" s="6">
        <v>69</v>
      </c>
      <c r="S39" s="6">
        <v>53</v>
      </c>
      <c r="T39" s="6">
        <v>77</v>
      </c>
      <c r="U39" s="6">
        <v>78</v>
      </c>
      <c r="V39" s="6">
        <v>159</v>
      </c>
      <c r="W39" s="6">
        <v>4</v>
      </c>
      <c r="X39" s="6">
        <v>295</v>
      </c>
      <c r="Y39" s="6">
        <v>129</v>
      </c>
      <c r="Z39" s="6">
        <v>18</v>
      </c>
      <c r="AA39" s="6">
        <v>130</v>
      </c>
      <c r="AB39" s="6">
        <v>60</v>
      </c>
      <c r="AC39" s="6">
        <v>328</v>
      </c>
      <c r="AD39" s="6">
        <v>20</v>
      </c>
      <c r="AE39" s="6">
        <v>96</v>
      </c>
    </row>
    <row r="40" spans="1:31" ht="30.75" thickBot="1" x14ac:dyDescent="0.3">
      <c r="A40" s="3">
        <v>2025</v>
      </c>
      <c r="B40" s="3">
        <v>10</v>
      </c>
      <c r="C40" s="3" t="s">
        <v>90</v>
      </c>
      <c r="D40" s="4" t="s">
        <v>38</v>
      </c>
      <c r="E40" s="3">
        <v>92</v>
      </c>
      <c r="F40" s="5">
        <v>0.61</v>
      </c>
      <c r="G40" s="6">
        <v>115</v>
      </c>
      <c r="H40" s="6" t="s">
        <v>91</v>
      </c>
      <c r="I40" s="6">
        <v>48</v>
      </c>
      <c r="J40" s="6">
        <v>104</v>
      </c>
      <c r="K40" s="6">
        <v>88</v>
      </c>
      <c r="L40" s="6">
        <v>135</v>
      </c>
      <c r="M40" s="6">
        <v>74</v>
      </c>
      <c r="N40" s="6">
        <v>104</v>
      </c>
      <c r="O40" s="6">
        <v>57</v>
      </c>
      <c r="P40" s="6">
        <v>112</v>
      </c>
      <c r="Q40" s="6">
        <v>122</v>
      </c>
      <c r="R40" s="6">
        <v>58</v>
      </c>
      <c r="S40" s="6">
        <v>43</v>
      </c>
      <c r="T40" s="6">
        <v>80</v>
      </c>
      <c r="U40" s="6">
        <v>63</v>
      </c>
      <c r="V40" s="6">
        <v>128</v>
      </c>
      <c r="W40" s="6">
        <v>66</v>
      </c>
      <c r="X40" s="6">
        <v>115</v>
      </c>
      <c r="Y40" s="6">
        <v>180</v>
      </c>
      <c r="Z40" s="6">
        <v>183</v>
      </c>
      <c r="AA40" s="6">
        <v>183</v>
      </c>
      <c r="AB40" s="6">
        <v>440</v>
      </c>
      <c r="AC40" s="6">
        <v>98</v>
      </c>
      <c r="AD40" s="6">
        <v>158</v>
      </c>
      <c r="AE40" s="6">
        <v>47</v>
      </c>
    </row>
    <row r="41" spans="1:31" ht="30.75" thickBot="1" x14ac:dyDescent="0.3">
      <c r="A41" s="3">
        <v>2025</v>
      </c>
      <c r="B41" s="3">
        <v>10</v>
      </c>
      <c r="C41" s="3" t="s">
        <v>90</v>
      </c>
      <c r="D41" s="4" t="s">
        <v>40</v>
      </c>
      <c r="E41" s="3">
        <v>92</v>
      </c>
      <c r="F41" s="5">
        <v>0.77</v>
      </c>
      <c r="G41" s="6">
        <v>115</v>
      </c>
      <c r="H41" s="6" t="s">
        <v>92</v>
      </c>
      <c r="I41" s="6">
        <v>47</v>
      </c>
      <c r="J41" s="6">
        <v>112</v>
      </c>
      <c r="K41" s="6">
        <v>68</v>
      </c>
      <c r="L41" s="6">
        <v>72</v>
      </c>
      <c r="M41" s="6">
        <v>41</v>
      </c>
      <c r="N41" s="6">
        <v>110</v>
      </c>
      <c r="O41" s="6">
        <v>69</v>
      </c>
      <c r="P41" s="6">
        <v>54</v>
      </c>
      <c r="Q41" s="6">
        <v>79</v>
      </c>
      <c r="R41" s="6">
        <v>98</v>
      </c>
      <c r="S41" s="6">
        <v>65</v>
      </c>
      <c r="T41" s="6">
        <v>46</v>
      </c>
      <c r="U41" s="6">
        <v>45</v>
      </c>
      <c r="V41" s="6">
        <v>338</v>
      </c>
      <c r="W41" s="6">
        <v>264</v>
      </c>
      <c r="X41" s="6">
        <v>577</v>
      </c>
      <c r="Y41" s="6">
        <v>43</v>
      </c>
      <c r="Z41" s="6">
        <v>52</v>
      </c>
      <c r="AA41" s="6">
        <v>63</v>
      </c>
      <c r="AB41" s="6">
        <v>288</v>
      </c>
      <c r="AC41" s="6">
        <v>44</v>
      </c>
      <c r="AD41" s="6">
        <v>130</v>
      </c>
      <c r="AE41" s="6">
        <v>105</v>
      </c>
    </row>
    <row r="42" spans="1:31" ht="30.75" thickBot="1" x14ac:dyDescent="0.3">
      <c r="A42" s="3">
        <v>2025</v>
      </c>
      <c r="B42" s="3">
        <v>11</v>
      </c>
      <c r="C42" s="3" t="s">
        <v>93</v>
      </c>
      <c r="D42" s="4" t="s">
        <v>32</v>
      </c>
      <c r="E42" s="3">
        <v>87</v>
      </c>
      <c r="F42" s="5">
        <v>0.53</v>
      </c>
      <c r="G42" s="6" t="s">
        <v>94</v>
      </c>
      <c r="H42" s="6" t="s">
        <v>95</v>
      </c>
      <c r="I42" s="6">
        <v>81</v>
      </c>
      <c r="J42" s="6">
        <v>39</v>
      </c>
      <c r="K42" s="6">
        <v>97</v>
      </c>
      <c r="L42" s="6">
        <v>88</v>
      </c>
      <c r="M42" s="6">
        <v>105</v>
      </c>
      <c r="N42" s="6">
        <v>89</v>
      </c>
      <c r="O42" s="6">
        <v>95</v>
      </c>
      <c r="P42" s="6">
        <v>75</v>
      </c>
      <c r="Q42" s="6">
        <v>124</v>
      </c>
      <c r="R42" s="6">
        <v>78</v>
      </c>
      <c r="S42" s="6">
        <v>28</v>
      </c>
      <c r="T42" s="6">
        <v>44</v>
      </c>
      <c r="U42" s="6">
        <v>121</v>
      </c>
      <c r="V42" s="6">
        <v>35</v>
      </c>
      <c r="W42" s="6">
        <v>66</v>
      </c>
      <c r="X42" s="6">
        <v>415</v>
      </c>
      <c r="Y42" s="6">
        <v>72</v>
      </c>
      <c r="Z42" s="6">
        <v>115</v>
      </c>
      <c r="AA42" s="6">
        <v>83</v>
      </c>
      <c r="AB42" s="6">
        <v>408</v>
      </c>
      <c r="AC42" s="6">
        <v>303</v>
      </c>
      <c r="AD42" s="6">
        <v>136</v>
      </c>
      <c r="AE42" s="6">
        <v>12</v>
      </c>
    </row>
    <row r="43" spans="1:31" ht="30.75" thickBot="1" x14ac:dyDescent="0.3">
      <c r="A43" s="3">
        <v>2025</v>
      </c>
      <c r="B43" s="3">
        <v>11</v>
      </c>
      <c r="C43" s="3" t="s">
        <v>93</v>
      </c>
      <c r="D43" s="4" t="s">
        <v>35</v>
      </c>
      <c r="E43" s="3">
        <v>40</v>
      </c>
      <c r="F43" s="5">
        <v>0.67</v>
      </c>
      <c r="G43" s="6">
        <v>50</v>
      </c>
      <c r="H43" s="6" t="s">
        <v>96</v>
      </c>
      <c r="I43" s="6">
        <v>55</v>
      </c>
      <c r="J43" s="6">
        <v>45</v>
      </c>
      <c r="K43" s="6">
        <v>53</v>
      </c>
      <c r="L43" s="6">
        <v>114</v>
      </c>
      <c r="M43" s="6">
        <v>107</v>
      </c>
      <c r="N43" s="6">
        <v>69</v>
      </c>
      <c r="O43" s="6">
        <v>66</v>
      </c>
      <c r="P43" s="6">
        <v>59</v>
      </c>
      <c r="Q43" s="6">
        <v>81</v>
      </c>
      <c r="R43" s="6">
        <v>70</v>
      </c>
      <c r="S43" s="6">
        <v>57</v>
      </c>
      <c r="T43" s="6">
        <v>67</v>
      </c>
      <c r="U43" s="6">
        <v>98</v>
      </c>
      <c r="V43" s="6">
        <v>10</v>
      </c>
      <c r="W43" s="6">
        <v>234</v>
      </c>
      <c r="X43" s="6">
        <v>697</v>
      </c>
      <c r="Y43" s="6">
        <v>182</v>
      </c>
      <c r="Z43" s="6">
        <v>278</v>
      </c>
      <c r="AA43" s="6">
        <v>123</v>
      </c>
      <c r="AB43" s="6">
        <v>114</v>
      </c>
      <c r="AC43" s="6">
        <v>92</v>
      </c>
      <c r="AD43" s="6">
        <v>152</v>
      </c>
      <c r="AE43" s="6">
        <v>84</v>
      </c>
    </row>
    <row r="44" spans="1:31" ht="30.75" thickBot="1" x14ac:dyDescent="0.3">
      <c r="A44" s="3">
        <v>2025</v>
      </c>
      <c r="B44" s="3">
        <v>11</v>
      </c>
      <c r="C44" s="3" t="s">
        <v>93</v>
      </c>
      <c r="D44" s="4" t="s">
        <v>38</v>
      </c>
      <c r="E44" s="3">
        <v>71</v>
      </c>
      <c r="F44" s="5">
        <v>0.47</v>
      </c>
      <c r="G44" s="6" t="s">
        <v>97</v>
      </c>
      <c r="H44" s="6" t="s">
        <v>67</v>
      </c>
      <c r="I44" s="6">
        <v>57</v>
      </c>
      <c r="J44" s="6">
        <v>94</v>
      </c>
      <c r="K44" s="6">
        <v>63</v>
      </c>
      <c r="L44" s="6">
        <v>143</v>
      </c>
      <c r="M44" s="6">
        <v>83</v>
      </c>
      <c r="N44" s="6">
        <v>74</v>
      </c>
      <c r="O44" s="6">
        <v>47</v>
      </c>
      <c r="P44" s="6">
        <v>58</v>
      </c>
      <c r="Q44" s="6">
        <v>137</v>
      </c>
      <c r="R44" s="6">
        <v>94</v>
      </c>
      <c r="S44" s="6">
        <v>37</v>
      </c>
      <c r="T44" s="6">
        <v>74</v>
      </c>
      <c r="U44" s="6">
        <v>21</v>
      </c>
      <c r="V44" s="6">
        <v>97</v>
      </c>
      <c r="W44" s="6">
        <v>133</v>
      </c>
      <c r="X44" s="6">
        <v>255</v>
      </c>
      <c r="Y44" s="6">
        <v>62</v>
      </c>
      <c r="Z44" s="6">
        <v>67</v>
      </c>
      <c r="AA44" s="6">
        <v>58</v>
      </c>
      <c r="AB44" s="6">
        <v>700</v>
      </c>
      <c r="AC44" s="6">
        <v>232</v>
      </c>
      <c r="AD44" s="6">
        <v>106</v>
      </c>
      <c r="AE44" s="6">
        <v>165</v>
      </c>
    </row>
    <row r="45" spans="1:31" ht="30.75" thickBot="1" x14ac:dyDescent="0.3">
      <c r="A45" s="3">
        <v>2025</v>
      </c>
      <c r="B45" s="3">
        <v>11</v>
      </c>
      <c r="C45" s="3" t="s">
        <v>93</v>
      </c>
      <c r="D45" s="4" t="s">
        <v>40</v>
      </c>
      <c r="E45" s="3">
        <v>34</v>
      </c>
      <c r="F45" s="5">
        <v>0.73</v>
      </c>
      <c r="G45" s="6" t="s">
        <v>98</v>
      </c>
      <c r="H45" s="6" t="s">
        <v>99</v>
      </c>
      <c r="I45" s="6">
        <v>29</v>
      </c>
      <c r="J45" s="6">
        <v>94</v>
      </c>
      <c r="K45" s="6">
        <v>36</v>
      </c>
      <c r="L45" s="6">
        <v>105</v>
      </c>
      <c r="M45" s="6">
        <v>65</v>
      </c>
      <c r="N45" s="6">
        <v>68</v>
      </c>
      <c r="O45" s="6">
        <v>52</v>
      </c>
      <c r="P45" s="6">
        <v>94</v>
      </c>
      <c r="Q45" s="6">
        <v>140</v>
      </c>
      <c r="R45" s="6">
        <v>71</v>
      </c>
      <c r="S45" s="6">
        <v>74</v>
      </c>
      <c r="T45" s="6">
        <v>72</v>
      </c>
      <c r="U45" s="6">
        <v>60</v>
      </c>
      <c r="V45" s="6">
        <v>176</v>
      </c>
      <c r="W45" s="6">
        <v>222</v>
      </c>
      <c r="X45" s="6">
        <v>472</v>
      </c>
      <c r="Y45" s="6">
        <v>23</v>
      </c>
      <c r="Z45" s="6">
        <v>29</v>
      </c>
      <c r="AA45" s="6">
        <v>61</v>
      </c>
      <c r="AB45" s="6">
        <v>410</v>
      </c>
      <c r="AC45" s="6">
        <v>263</v>
      </c>
      <c r="AD45" s="6">
        <v>135</v>
      </c>
      <c r="AE45" s="6">
        <v>62</v>
      </c>
    </row>
    <row r="46" spans="1:31" ht="30.75" thickBot="1" x14ac:dyDescent="0.3">
      <c r="A46" s="3">
        <v>2025</v>
      </c>
      <c r="B46" s="3">
        <v>12</v>
      </c>
      <c r="C46" s="3" t="s">
        <v>100</v>
      </c>
      <c r="D46" s="4" t="s">
        <v>32</v>
      </c>
      <c r="E46" s="3">
        <v>90</v>
      </c>
      <c r="F46" s="5">
        <v>0.57999999999999996</v>
      </c>
      <c r="G46" s="6" t="s">
        <v>82</v>
      </c>
      <c r="H46" s="6" t="s">
        <v>74</v>
      </c>
      <c r="I46" s="6">
        <v>61</v>
      </c>
      <c r="J46" s="6">
        <v>79</v>
      </c>
      <c r="K46" s="6">
        <v>94</v>
      </c>
      <c r="L46" s="6">
        <v>77</v>
      </c>
      <c r="M46" s="6">
        <v>50</v>
      </c>
      <c r="N46" s="6">
        <v>110</v>
      </c>
      <c r="O46" s="6">
        <v>106</v>
      </c>
      <c r="P46" s="6">
        <v>119</v>
      </c>
      <c r="Q46" s="6">
        <v>148</v>
      </c>
      <c r="R46" s="6">
        <v>50</v>
      </c>
      <c r="S46" s="6">
        <v>53</v>
      </c>
      <c r="T46" s="6">
        <v>72</v>
      </c>
      <c r="U46" s="6">
        <v>82</v>
      </c>
      <c r="V46" s="6">
        <v>283</v>
      </c>
      <c r="W46" s="6">
        <v>37</v>
      </c>
      <c r="X46" s="6">
        <v>265</v>
      </c>
      <c r="Y46" s="6">
        <v>190</v>
      </c>
      <c r="Z46" s="6">
        <v>88</v>
      </c>
      <c r="AA46" s="6">
        <v>125</v>
      </c>
      <c r="AB46" s="6">
        <v>344</v>
      </c>
      <c r="AC46" s="6">
        <v>138</v>
      </c>
      <c r="AD46" s="6">
        <v>13</v>
      </c>
      <c r="AE46" s="6">
        <v>47</v>
      </c>
    </row>
    <row r="47" spans="1:31" ht="30.75" thickBot="1" x14ac:dyDescent="0.3">
      <c r="A47" s="3">
        <v>2025</v>
      </c>
      <c r="B47" s="3">
        <v>12</v>
      </c>
      <c r="C47" s="3" t="s">
        <v>100</v>
      </c>
      <c r="D47" s="4" t="s">
        <v>35</v>
      </c>
      <c r="E47" s="3">
        <v>101</v>
      </c>
      <c r="F47" s="5">
        <v>0.59</v>
      </c>
      <c r="G47" s="6" t="s">
        <v>101</v>
      </c>
      <c r="H47" s="6" t="s">
        <v>55</v>
      </c>
      <c r="I47" s="6">
        <v>57</v>
      </c>
      <c r="J47" s="6">
        <v>84</v>
      </c>
      <c r="K47" s="6">
        <v>85</v>
      </c>
      <c r="L47" s="6">
        <v>138</v>
      </c>
      <c r="M47" s="6">
        <v>111</v>
      </c>
      <c r="N47" s="6">
        <v>44</v>
      </c>
      <c r="O47" s="6">
        <v>133</v>
      </c>
      <c r="P47" s="6">
        <v>120</v>
      </c>
      <c r="Q47" s="6">
        <v>111</v>
      </c>
      <c r="R47" s="6">
        <v>84</v>
      </c>
      <c r="S47" s="6">
        <v>74</v>
      </c>
      <c r="T47" s="6">
        <v>53</v>
      </c>
      <c r="U47" s="6">
        <v>115</v>
      </c>
      <c r="V47" s="6">
        <v>235</v>
      </c>
      <c r="W47" s="6">
        <v>191</v>
      </c>
      <c r="X47" s="6">
        <v>220</v>
      </c>
      <c r="Y47" s="6">
        <v>338</v>
      </c>
      <c r="Z47" s="6">
        <v>75</v>
      </c>
      <c r="AA47" s="6">
        <v>133</v>
      </c>
      <c r="AB47" s="6">
        <v>128</v>
      </c>
      <c r="AC47" s="6">
        <v>6</v>
      </c>
      <c r="AD47" s="6">
        <v>151</v>
      </c>
      <c r="AE47" s="6">
        <v>68</v>
      </c>
    </row>
    <row r="48" spans="1:31" ht="30.75" thickBot="1" x14ac:dyDescent="0.3">
      <c r="A48" s="3">
        <v>2025</v>
      </c>
      <c r="B48" s="3">
        <v>12</v>
      </c>
      <c r="C48" s="3" t="s">
        <v>100</v>
      </c>
      <c r="D48" s="4" t="s">
        <v>38</v>
      </c>
      <c r="E48" s="3">
        <v>58</v>
      </c>
      <c r="F48" s="5">
        <v>0.3</v>
      </c>
      <c r="G48" s="6" t="s">
        <v>52</v>
      </c>
      <c r="H48" s="6" t="s">
        <v>96</v>
      </c>
      <c r="I48" s="6">
        <v>59</v>
      </c>
      <c r="J48" s="6">
        <v>73</v>
      </c>
      <c r="K48" s="6">
        <v>96</v>
      </c>
      <c r="L48" s="6">
        <v>135</v>
      </c>
      <c r="M48" s="6">
        <v>71</v>
      </c>
      <c r="N48" s="6">
        <v>116</v>
      </c>
      <c r="O48" s="6">
        <v>113</v>
      </c>
      <c r="P48" s="6">
        <v>70</v>
      </c>
      <c r="Q48" s="6">
        <v>144</v>
      </c>
      <c r="R48" s="6">
        <v>86</v>
      </c>
      <c r="S48" s="6">
        <v>71</v>
      </c>
      <c r="T48" s="6">
        <v>37</v>
      </c>
      <c r="U48" s="6">
        <v>97</v>
      </c>
      <c r="V48" s="6">
        <v>63</v>
      </c>
      <c r="W48" s="6">
        <v>17</v>
      </c>
      <c r="X48" s="6">
        <v>592</v>
      </c>
      <c r="Y48" s="6">
        <v>194</v>
      </c>
      <c r="Z48" s="6">
        <v>145</v>
      </c>
      <c r="AA48" s="6">
        <v>234</v>
      </c>
      <c r="AB48" s="6">
        <v>24</v>
      </c>
      <c r="AC48" s="6">
        <v>63</v>
      </c>
      <c r="AD48" s="6">
        <v>154</v>
      </c>
      <c r="AE48" s="6">
        <v>60</v>
      </c>
    </row>
    <row r="49" spans="1:31" ht="30.75" thickBot="1" x14ac:dyDescent="0.3">
      <c r="A49" s="3">
        <v>2025</v>
      </c>
      <c r="B49" s="3">
        <v>12</v>
      </c>
      <c r="C49" s="3" t="s">
        <v>100</v>
      </c>
      <c r="D49" s="4" t="s">
        <v>40</v>
      </c>
      <c r="E49" s="3">
        <v>51</v>
      </c>
      <c r="F49" s="5">
        <v>0.35</v>
      </c>
      <c r="G49" s="6" t="s">
        <v>102</v>
      </c>
      <c r="H49" s="6" t="s">
        <v>92</v>
      </c>
      <c r="I49" s="6">
        <v>66</v>
      </c>
      <c r="J49" s="6">
        <v>69</v>
      </c>
      <c r="K49" s="6">
        <v>48</v>
      </c>
      <c r="L49" s="6">
        <v>80</v>
      </c>
      <c r="M49" s="6">
        <v>41</v>
      </c>
      <c r="N49" s="6">
        <v>126</v>
      </c>
      <c r="O49" s="6">
        <v>111</v>
      </c>
      <c r="P49" s="6">
        <v>83</v>
      </c>
      <c r="Q49" s="6">
        <v>114</v>
      </c>
      <c r="R49" s="6">
        <v>94</v>
      </c>
      <c r="S49" s="6">
        <v>72</v>
      </c>
      <c r="T49" s="6">
        <v>33</v>
      </c>
      <c r="U49" s="6">
        <v>66</v>
      </c>
      <c r="V49" s="6">
        <v>119</v>
      </c>
      <c r="W49" s="6">
        <v>47</v>
      </c>
      <c r="X49" s="6">
        <v>492</v>
      </c>
      <c r="Y49" s="6">
        <v>16</v>
      </c>
      <c r="Z49" s="6">
        <v>337</v>
      </c>
      <c r="AA49" s="6">
        <v>55</v>
      </c>
      <c r="AB49" s="6">
        <v>270</v>
      </c>
      <c r="AC49" s="6">
        <v>63</v>
      </c>
      <c r="AD49" s="6">
        <v>74</v>
      </c>
      <c r="AE49" s="6">
        <v>174</v>
      </c>
    </row>
    <row r="50" spans="1:31" ht="30.75" thickBot="1" x14ac:dyDescent="0.3">
      <c r="A50" s="3">
        <v>2024</v>
      </c>
      <c r="B50" s="3">
        <v>1</v>
      </c>
      <c r="C50" s="3" t="s">
        <v>31</v>
      </c>
      <c r="D50" s="4" t="s">
        <v>32</v>
      </c>
      <c r="E50" s="3">
        <v>29</v>
      </c>
      <c r="F50" s="5">
        <v>0.51</v>
      </c>
      <c r="G50" s="6" t="s">
        <v>68</v>
      </c>
      <c r="H50" s="6" t="s">
        <v>103</v>
      </c>
      <c r="I50" s="6">
        <v>68</v>
      </c>
      <c r="J50" s="6">
        <v>131</v>
      </c>
      <c r="K50" s="6">
        <v>32</v>
      </c>
      <c r="L50" s="6">
        <v>120</v>
      </c>
      <c r="M50" s="6">
        <v>37</v>
      </c>
      <c r="N50" s="6">
        <v>39</v>
      </c>
      <c r="O50" s="6">
        <v>66</v>
      </c>
      <c r="P50" s="6">
        <v>50</v>
      </c>
      <c r="Q50" s="6">
        <v>134</v>
      </c>
      <c r="R50" s="6">
        <v>62</v>
      </c>
      <c r="S50" s="6">
        <v>94</v>
      </c>
      <c r="T50" s="6">
        <v>112</v>
      </c>
      <c r="U50" s="6">
        <v>75</v>
      </c>
      <c r="V50" s="6">
        <v>352</v>
      </c>
      <c r="W50" s="6">
        <v>103</v>
      </c>
      <c r="X50" s="6">
        <v>325</v>
      </c>
      <c r="Y50" s="6">
        <v>286</v>
      </c>
      <c r="Z50" s="6">
        <v>374</v>
      </c>
      <c r="AA50" s="6">
        <v>7</v>
      </c>
      <c r="AB50" s="6">
        <v>26</v>
      </c>
      <c r="AC50" s="6">
        <v>12</v>
      </c>
      <c r="AD50" s="6">
        <v>111</v>
      </c>
      <c r="AE50" s="6">
        <v>345</v>
      </c>
    </row>
    <row r="51" spans="1:31" ht="30.75" thickBot="1" x14ac:dyDescent="0.3">
      <c r="A51" s="3">
        <v>2024</v>
      </c>
      <c r="B51" s="3">
        <v>1</v>
      </c>
      <c r="C51" s="3" t="s">
        <v>31</v>
      </c>
      <c r="D51" s="4" t="s">
        <v>35</v>
      </c>
      <c r="E51" s="3">
        <v>65</v>
      </c>
      <c r="F51" s="5">
        <v>0.4</v>
      </c>
      <c r="G51" s="6" t="s">
        <v>104</v>
      </c>
      <c r="H51" s="6" t="s">
        <v>105</v>
      </c>
      <c r="I51" s="6">
        <v>138</v>
      </c>
      <c r="J51" s="6">
        <v>37</v>
      </c>
      <c r="K51" s="6">
        <v>39</v>
      </c>
      <c r="L51" s="6">
        <v>82</v>
      </c>
      <c r="M51" s="6">
        <v>51</v>
      </c>
      <c r="N51" s="6">
        <v>65</v>
      </c>
      <c r="O51" s="6">
        <v>96</v>
      </c>
      <c r="P51" s="6">
        <v>63</v>
      </c>
      <c r="Q51" s="6">
        <v>62</v>
      </c>
      <c r="R51" s="6">
        <v>44</v>
      </c>
      <c r="S51" s="6">
        <v>65</v>
      </c>
      <c r="T51" s="6">
        <v>54</v>
      </c>
      <c r="U51" s="6">
        <v>36</v>
      </c>
      <c r="V51" s="6">
        <v>52</v>
      </c>
      <c r="W51" s="6">
        <v>358</v>
      </c>
      <c r="X51" s="6">
        <v>454</v>
      </c>
      <c r="Y51" s="6">
        <v>33</v>
      </c>
      <c r="Z51" s="6">
        <v>354</v>
      </c>
      <c r="AA51" s="6">
        <v>225</v>
      </c>
      <c r="AB51" s="6">
        <v>30</v>
      </c>
      <c r="AC51" s="6">
        <v>23</v>
      </c>
      <c r="AD51" s="6">
        <v>382</v>
      </c>
      <c r="AE51" s="6">
        <v>68</v>
      </c>
    </row>
    <row r="52" spans="1:31" ht="30.75" thickBot="1" x14ac:dyDescent="0.3">
      <c r="A52" s="3">
        <v>2024</v>
      </c>
      <c r="B52" s="3">
        <v>1</v>
      </c>
      <c r="C52" s="3" t="s">
        <v>31</v>
      </c>
      <c r="D52" s="4" t="s">
        <v>38</v>
      </c>
      <c r="E52" s="3">
        <v>36</v>
      </c>
      <c r="F52" s="5">
        <v>0.28999999999999998</v>
      </c>
      <c r="G52" s="6" t="s">
        <v>106</v>
      </c>
      <c r="H52" s="6" t="s">
        <v>67</v>
      </c>
      <c r="I52" s="6">
        <v>90</v>
      </c>
      <c r="J52" s="6">
        <v>103</v>
      </c>
      <c r="K52" s="6">
        <v>50</v>
      </c>
      <c r="L52" s="6">
        <v>50</v>
      </c>
      <c r="M52" s="6">
        <v>76</v>
      </c>
      <c r="N52" s="6">
        <v>35</v>
      </c>
      <c r="O52" s="6">
        <v>36</v>
      </c>
      <c r="P52" s="6">
        <v>49</v>
      </c>
      <c r="Q52" s="6">
        <v>54</v>
      </c>
      <c r="R52" s="6">
        <v>73</v>
      </c>
      <c r="S52" s="6">
        <v>71</v>
      </c>
      <c r="T52" s="6">
        <v>77</v>
      </c>
      <c r="U52" s="6">
        <v>90</v>
      </c>
      <c r="V52" s="6">
        <v>106</v>
      </c>
      <c r="W52" s="6">
        <v>216</v>
      </c>
      <c r="X52" s="6">
        <v>420</v>
      </c>
      <c r="Y52" s="6">
        <v>45</v>
      </c>
      <c r="Z52" s="6">
        <v>197</v>
      </c>
      <c r="AA52" s="6">
        <v>139</v>
      </c>
      <c r="AB52" s="6">
        <v>73</v>
      </c>
      <c r="AC52" s="6">
        <v>232</v>
      </c>
      <c r="AD52" s="6">
        <v>165</v>
      </c>
      <c r="AE52" s="6">
        <v>178</v>
      </c>
    </row>
    <row r="53" spans="1:31" ht="30.75" thickBot="1" x14ac:dyDescent="0.3">
      <c r="A53" s="3">
        <v>2024</v>
      </c>
      <c r="B53" s="3">
        <v>1</v>
      </c>
      <c r="C53" s="3" t="s">
        <v>31</v>
      </c>
      <c r="D53" s="4" t="s">
        <v>40</v>
      </c>
      <c r="E53" s="3">
        <v>51</v>
      </c>
      <c r="F53" s="5">
        <v>0.28000000000000003</v>
      </c>
      <c r="G53" s="6" t="s">
        <v>107</v>
      </c>
      <c r="H53" s="6" t="s">
        <v>108</v>
      </c>
      <c r="I53" s="6">
        <v>140</v>
      </c>
      <c r="J53" s="6">
        <v>57</v>
      </c>
      <c r="K53" s="6">
        <v>81</v>
      </c>
      <c r="L53" s="6">
        <v>92</v>
      </c>
      <c r="M53" s="6">
        <v>91</v>
      </c>
      <c r="N53" s="6">
        <v>97</v>
      </c>
      <c r="O53" s="6">
        <v>55</v>
      </c>
      <c r="P53" s="6">
        <v>115</v>
      </c>
      <c r="Q53" s="6">
        <v>59</v>
      </c>
      <c r="R53" s="6">
        <v>74</v>
      </c>
      <c r="S53" s="6">
        <v>45</v>
      </c>
      <c r="T53" s="6">
        <v>81</v>
      </c>
      <c r="U53" s="6">
        <v>77</v>
      </c>
      <c r="V53" s="6">
        <v>286</v>
      </c>
      <c r="W53" s="6">
        <v>90</v>
      </c>
      <c r="X53" s="6">
        <v>191</v>
      </c>
      <c r="Y53" s="6">
        <v>246</v>
      </c>
      <c r="Z53" s="6">
        <v>237</v>
      </c>
      <c r="AA53" s="6">
        <v>146</v>
      </c>
      <c r="AB53" s="6">
        <v>210</v>
      </c>
      <c r="AC53" s="6">
        <v>119</v>
      </c>
      <c r="AD53" s="6">
        <v>98</v>
      </c>
      <c r="AE53" s="6">
        <v>189</v>
      </c>
    </row>
    <row r="54" spans="1:31" ht="30.75" thickBot="1" x14ac:dyDescent="0.3">
      <c r="A54" s="3">
        <v>2024</v>
      </c>
      <c r="B54" s="3">
        <v>2</v>
      </c>
      <c r="C54" s="3" t="s">
        <v>42</v>
      </c>
      <c r="D54" s="4" t="s">
        <v>32</v>
      </c>
      <c r="E54" s="3">
        <v>80</v>
      </c>
      <c r="F54" s="5">
        <v>0.46</v>
      </c>
      <c r="G54" s="6" t="s">
        <v>109</v>
      </c>
      <c r="H54" s="6" t="s">
        <v>110</v>
      </c>
      <c r="I54" s="6">
        <v>69</v>
      </c>
      <c r="J54" s="6">
        <v>117</v>
      </c>
      <c r="K54" s="6">
        <v>96</v>
      </c>
      <c r="L54" s="6">
        <v>35</v>
      </c>
      <c r="M54" s="6">
        <v>67</v>
      </c>
      <c r="N54" s="6">
        <v>43</v>
      </c>
      <c r="O54" s="6">
        <v>58</v>
      </c>
      <c r="P54" s="6">
        <v>71</v>
      </c>
      <c r="Q54" s="6">
        <v>84</v>
      </c>
      <c r="R54" s="6">
        <v>87</v>
      </c>
      <c r="S54" s="6">
        <v>106</v>
      </c>
      <c r="T54" s="6">
        <v>60</v>
      </c>
      <c r="U54" s="6">
        <v>40</v>
      </c>
      <c r="V54" s="6">
        <v>101</v>
      </c>
      <c r="W54" s="6">
        <v>39</v>
      </c>
      <c r="X54" s="6">
        <v>40</v>
      </c>
      <c r="Y54" s="6">
        <v>13</v>
      </c>
      <c r="Z54" s="6">
        <v>18</v>
      </c>
      <c r="AA54" s="6">
        <v>152</v>
      </c>
      <c r="AB54" s="6">
        <v>62</v>
      </c>
      <c r="AC54" s="6">
        <v>122</v>
      </c>
      <c r="AD54" s="6">
        <v>134</v>
      </c>
      <c r="AE54" s="6">
        <v>10</v>
      </c>
    </row>
    <row r="55" spans="1:31" ht="30.75" thickBot="1" x14ac:dyDescent="0.3">
      <c r="A55" s="3">
        <v>2024</v>
      </c>
      <c r="B55" s="3">
        <v>2</v>
      </c>
      <c r="C55" s="3" t="s">
        <v>42</v>
      </c>
      <c r="D55" s="4" t="s">
        <v>35</v>
      </c>
      <c r="E55" s="3">
        <v>94</v>
      </c>
      <c r="F55" s="5">
        <v>0.54</v>
      </c>
      <c r="G55" s="6" t="s">
        <v>104</v>
      </c>
      <c r="H55" s="6" t="s">
        <v>110</v>
      </c>
      <c r="I55" s="6">
        <v>98</v>
      </c>
      <c r="J55" s="6">
        <v>118</v>
      </c>
      <c r="K55" s="6">
        <v>70</v>
      </c>
      <c r="L55" s="6">
        <v>54</v>
      </c>
      <c r="M55" s="6">
        <v>43</v>
      </c>
      <c r="N55" s="6">
        <v>49</v>
      </c>
      <c r="O55" s="6">
        <v>138</v>
      </c>
      <c r="P55" s="6">
        <v>77</v>
      </c>
      <c r="Q55" s="6">
        <v>78</v>
      </c>
      <c r="R55" s="6">
        <v>89</v>
      </c>
      <c r="S55" s="6">
        <v>40</v>
      </c>
      <c r="T55" s="6">
        <v>56</v>
      </c>
      <c r="U55" s="6">
        <v>82</v>
      </c>
      <c r="V55" s="6">
        <v>178</v>
      </c>
      <c r="W55" s="6">
        <v>151</v>
      </c>
      <c r="X55" s="6">
        <v>184</v>
      </c>
      <c r="Y55" s="6">
        <v>125</v>
      </c>
      <c r="Z55" s="6">
        <v>146</v>
      </c>
      <c r="AA55" s="6">
        <v>85</v>
      </c>
      <c r="AB55" s="6">
        <v>468</v>
      </c>
      <c r="AC55" s="6">
        <v>31</v>
      </c>
      <c r="AD55" s="6">
        <v>48</v>
      </c>
      <c r="AE55" s="6">
        <v>93</v>
      </c>
    </row>
    <row r="56" spans="1:31" ht="30.75" thickBot="1" x14ac:dyDescent="0.3">
      <c r="A56" s="3">
        <v>2024</v>
      </c>
      <c r="B56" s="3">
        <v>2</v>
      </c>
      <c r="C56" s="3" t="s">
        <v>42</v>
      </c>
      <c r="D56" s="4" t="s">
        <v>38</v>
      </c>
      <c r="E56" s="3">
        <v>96</v>
      </c>
      <c r="F56" s="5">
        <v>0.49</v>
      </c>
      <c r="G56" s="6">
        <v>50</v>
      </c>
      <c r="H56" s="6" t="s">
        <v>86</v>
      </c>
      <c r="I56" s="6">
        <v>54</v>
      </c>
      <c r="J56" s="6">
        <v>89</v>
      </c>
      <c r="K56" s="6">
        <v>79</v>
      </c>
      <c r="L56" s="6">
        <v>90</v>
      </c>
      <c r="M56" s="6">
        <v>113</v>
      </c>
      <c r="N56" s="6">
        <v>114</v>
      </c>
      <c r="O56" s="6">
        <v>71</v>
      </c>
      <c r="P56" s="6">
        <v>37</v>
      </c>
      <c r="Q56" s="6">
        <v>39</v>
      </c>
      <c r="R56" s="6">
        <v>108</v>
      </c>
      <c r="S56" s="6">
        <v>83</v>
      </c>
      <c r="T56" s="6">
        <v>135</v>
      </c>
      <c r="U56" s="6">
        <v>97</v>
      </c>
      <c r="V56" s="6">
        <v>197</v>
      </c>
      <c r="W56" s="6">
        <v>261</v>
      </c>
      <c r="X56" s="6">
        <v>114</v>
      </c>
      <c r="Y56" s="6">
        <v>89</v>
      </c>
      <c r="Z56" s="6">
        <v>484</v>
      </c>
      <c r="AA56" s="6">
        <v>200</v>
      </c>
      <c r="AB56" s="6">
        <v>216</v>
      </c>
      <c r="AC56" s="6">
        <v>35</v>
      </c>
      <c r="AD56" s="6">
        <v>128</v>
      </c>
      <c r="AE56" s="6">
        <v>81</v>
      </c>
    </row>
    <row r="57" spans="1:31" ht="30.75" thickBot="1" x14ac:dyDescent="0.3">
      <c r="A57" s="3">
        <v>2024</v>
      </c>
      <c r="B57" s="3">
        <v>2</v>
      </c>
      <c r="C57" s="3" t="s">
        <v>42</v>
      </c>
      <c r="D57" s="4" t="s">
        <v>40</v>
      </c>
      <c r="E57" s="3">
        <v>44</v>
      </c>
      <c r="F57" s="5">
        <v>0.41</v>
      </c>
      <c r="G57" s="6" t="s">
        <v>111</v>
      </c>
      <c r="H57" s="6" t="s">
        <v>53</v>
      </c>
      <c r="I57" s="6">
        <v>125</v>
      </c>
      <c r="J57" s="6">
        <v>98</v>
      </c>
      <c r="K57" s="6">
        <v>123</v>
      </c>
      <c r="L57" s="6">
        <v>60</v>
      </c>
      <c r="M57" s="6">
        <v>100</v>
      </c>
      <c r="N57" s="6">
        <v>45</v>
      </c>
      <c r="O57" s="6">
        <v>59</v>
      </c>
      <c r="P57" s="6">
        <v>79</v>
      </c>
      <c r="Q57" s="6">
        <v>61</v>
      </c>
      <c r="R57" s="6">
        <v>65</v>
      </c>
      <c r="S57" s="6">
        <v>42</v>
      </c>
      <c r="T57" s="6">
        <v>49</v>
      </c>
      <c r="U57" s="6">
        <v>55</v>
      </c>
      <c r="V57" s="6">
        <v>210</v>
      </c>
      <c r="W57" s="6">
        <v>3</v>
      </c>
      <c r="X57" s="6">
        <v>302</v>
      </c>
      <c r="Y57" s="6">
        <v>16</v>
      </c>
      <c r="Z57" s="6">
        <v>82</v>
      </c>
      <c r="AA57" s="6">
        <v>52</v>
      </c>
      <c r="AB57" s="6">
        <v>137</v>
      </c>
      <c r="AC57" s="6">
        <v>274</v>
      </c>
      <c r="AD57" s="6">
        <v>340</v>
      </c>
      <c r="AE57" s="6">
        <v>173</v>
      </c>
    </row>
    <row r="58" spans="1:31" ht="30.75" thickBot="1" x14ac:dyDescent="0.3">
      <c r="A58" s="3">
        <v>2024</v>
      </c>
      <c r="B58" s="3">
        <v>3</v>
      </c>
      <c r="C58" s="3" t="s">
        <v>50</v>
      </c>
      <c r="D58" s="4" t="s">
        <v>32</v>
      </c>
      <c r="E58" s="3">
        <v>109</v>
      </c>
      <c r="F58" s="5">
        <v>0.54</v>
      </c>
      <c r="G58" s="6" t="s">
        <v>72</v>
      </c>
      <c r="H58" s="6" t="s">
        <v>74</v>
      </c>
      <c r="I58" s="6">
        <v>42</v>
      </c>
      <c r="J58" s="6">
        <v>98</v>
      </c>
      <c r="K58" s="6">
        <v>53</v>
      </c>
      <c r="L58" s="6">
        <v>47</v>
      </c>
      <c r="M58" s="6">
        <v>102</v>
      </c>
      <c r="N58" s="6">
        <v>102</v>
      </c>
      <c r="O58" s="6">
        <v>84</v>
      </c>
      <c r="P58" s="6">
        <v>108</v>
      </c>
      <c r="Q58" s="6">
        <v>96</v>
      </c>
      <c r="R58" s="6">
        <v>113</v>
      </c>
      <c r="S58" s="6">
        <v>87</v>
      </c>
      <c r="T58" s="6">
        <v>35</v>
      </c>
      <c r="U58" s="6">
        <v>105</v>
      </c>
      <c r="V58" s="6">
        <v>68</v>
      </c>
      <c r="W58" s="6">
        <v>340</v>
      </c>
      <c r="X58" s="6">
        <v>138</v>
      </c>
      <c r="Y58" s="6">
        <v>456</v>
      </c>
      <c r="Z58" s="6">
        <v>97</v>
      </c>
      <c r="AA58" s="6">
        <v>31</v>
      </c>
      <c r="AB58" s="6">
        <v>23</v>
      </c>
      <c r="AC58" s="6">
        <v>46</v>
      </c>
      <c r="AD58" s="6">
        <v>75</v>
      </c>
      <c r="AE58" s="6">
        <v>349</v>
      </c>
    </row>
    <row r="59" spans="1:31" ht="30.75" thickBot="1" x14ac:dyDescent="0.3">
      <c r="A59" s="3">
        <v>2024</v>
      </c>
      <c r="B59" s="3">
        <v>3</v>
      </c>
      <c r="C59" s="3" t="s">
        <v>50</v>
      </c>
      <c r="D59" s="4" t="s">
        <v>35</v>
      </c>
      <c r="E59" s="3">
        <v>29</v>
      </c>
      <c r="F59" s="5">
        <v>0.48</v>
      </c>
      <c r="G59" s="6">
        <v>110</v>
      </c>
      <c r="H59" s="6" t="s">
        <v>112</v>
      </c>
      <c r="I59" s="6">
        <v>70</v>
      </c>
      <c r="J59" s="6">
        <v>77</v>
      </c>
      <c r="K59" s="6">
        <v>97</v>
      </c>
      <c r="L59" s="6">
        <v>52</v>
      </c>
      <c r="M59" s="6">
        <v>43</v>
      </c>
      <c r="N59" s="6">
        <v>141</v>
      </c>
      <c r="O59" s="6">
        <v>71</v>
      </c>
      <c r="P59" s="6">
        <v>25</v>
      </c>
      <c r="Q59" s="6">
        <v>113</v>
      </c>
      <c r="R59" s="6">
        <v>80</v>
      </c>
      <c r="S59" s="6">
        <v>75</v>
      </c>
      <c r="T59" s="6">
        <v>30</v>
      </c>
      <c r="U59" s="6">
        <v>66</v>
      </c>
      <c r="V59" s="6">
        <v>156</v>
      </c>
      <c r="W59" s="6">
        <v>467</v>
      </c>
      <c r="X59" s="6">
        <v>15</v>
      </c>
      <c r="Y59" s="6">
        <v>354</v>
      </c>
      <c r="Z59" s="6">
        <v>71</v>
      </c>
      <c r="AA59" s="6">
        <v>40</v>
      </c>
      <c r="AB59" s="6">
        <v>43</v>
      </c>
      <c r="AC59" s="6">
        <v>67</v>
      </c>
      <c r="AD59" s="6">
        <v>163</v>
      </c>
      <c r="AE59" s="6">
        <v>57</v>
      </c>
    </row>
    <row r="60" spans="1:31" ht="30.75" thickBot="1" x14ac:dyDescent="0.3">
      <c r="A60" s="3">
        <v>2024</v>
      </c>
      <c r="B60" s="3">
        <v>3</v>
      </c>
      <c r="C60" s="3" t="s">
        <v>50</v>
      </c>
      <c r="D60" s="4" t="s">
        <v>38</v>
      </c>
      <c r="E60" s="3">
        <v>28</v>
      </c>
      <c r="F60" s="5">
        <v>0.25</v>
      </c>
      <c r="G60" s="6">
        <v>155</v>
      </c>
      <c r="H60" s="6" t="s">
        <v>51</v>
      </c>
      <c r="I60" s="6">
        <v>86</v>
      </c>
      <c r="J60" s="6">
        <v>82</v>
      </c>
      <c r="K60" s="6">
        <v>101</v>
      </c>
      <c r="L60" s="6">
        <v>68</v>
      </c>
      <c r="M60" s="6">
        <v>131</v>
      </c>
      <c r="N60" s="6">
        <v>61</v>
      </c>
      <c r="O60" s="6">
        <v>80</v>
      </c>
      <c r="P60" s="6">
        <v>39</v>
      </c>
      <c r="Q60" s="6">
        <v>91</v>
      </c>
      <c r="R60" s="6">
        <v>35</v>
      </c>
      <c r="S60" s="6">
        <v>40</v>
      </c>
      <c r="T60" s="6">
        <v>98</v>
      </c>
      <c r="U60" s="6">
        <v>47</v>
      </c>
      <c r="V60" s="6">
        <v>179</v>
      </c>
      <c r="W60" s="6">
        <v>65</v>
      </c>
      <c r="X60" s="6">
        <v>196</v>
      </c>
      <c r="Y60" s="6">
        <v>371</v>
      </c>
      <c r="Z60" s="6">
        <v>526</v>
      </c>
      <c r="AA60" s="6">
        <v>221</v>
      </c>
      <c r="AB60" s="6">
        <v>25</v>
      </c>
      <c r="AC60" s="6">
        <v>345</v>
      </c>
      <c r="AD60" s="6">
        <v>61</v>
      </c>
      <c r="AE60" s="6">
        <v>282</v>
      </c>
    </row>
    <row r="61" spans="1:31" ht="30.75" thickBot="1" x14ac:dyDescent="0.3">
      <c r="A61" s="3">
        <v>2024</v>
      </c>
      <c r="B61" s="3">
        <v>3</v>
      </c>
      <c r="C61" s="3" t="s">
        <v>50</v>
      </c>
      <c r="D61" s="4" t="s">
        <v>40</v>
      </c>
      <c r="E61" s="3">
        <v>125</v>
      </c>
      <c r="F61" s="5">
        <v>0.49</v>
      </c>
      <c r="G61" s="6" t="s">
        <v>101</v>
      </c>
      <c r="H61" s="6" t="s">
        <v>113</v>
      </c>
      <c r="I61" s="6">
        <v>102</v>
      </c>
      <c r="J61" s="6">
        <v>52</v>
      </c>
      <c r="K61" s="6">
        <v>76</v>
      </c>
      <c r="L61" s="6">
        <v>56</v>
      </c>
      <c r="M61" s="6">
        <v>75</v>
      </c>
      <c r="N61" s="6">
        <v>63</v>
      </c>
      <c r="O61" s="6">
        <v>86</v>
      </c>
      <c r="P61" s="6">
        <v>67</v>
      </c>
      <c r="Q61" s="6">
        <v>67</v>
      </c>
      <c r="R61" s="6">
        <v>77</v>
      </c>
      <c r="S61" s="6">
        <v>43</v>
      </c>
      <c r="T61" s="6">
        <v>73</v>
      </c>
      <c r="U61" s="6">
        <v>37</v>
      </c>
      <c r="V61" s="6">
        <v>5</v>
      </c>
      <c r="W61" s="6">
        <v>188</v>
      </c>
      <c r="X61" s="6">
        <v>157</v>
      </c>
      <c r="Y61" s="6">
        <v>61</v>
      </c>
      <c r="Z61" s="6">
        <v>148</v>
      </c>
      <c r="AA61" s="6">
        <v>270</v>
      </c>
      <c r="AB61" s="6">
        <v>113</v>
      </c>
      <c r="AC61" s="6">
        <v>151</v>
      </c>
      <c r="AD61" s="6">
        <v>152</v>
      </c>
      <c r="AE61" s="6">
        <v>368</v>
      </c>
    </row>
    <row r="62" spans="1:31" ht="30.75" thickBot="1" x14ac:dyDescent="0.3">
      <c r="A62" s="3">
        <v>2024</v>
      </c>
      <c r="B62" s="3">
        <v>4</v>
      </c>
      <c r="C62" s="3" t="s">
        <v>58</v>
      </c>
      <c r="D62" s="4" t="s">
        <v>32</v>
      </c>
      <c r="E62" s="3">
        <v>28</v>
      </c>
      <c r="F62" s="5">
        <v>0.41</v>
      </c>
      <c r="G62" s="6" t="s">
        <v>98</v>
      </c>
      <c r="H62" s="6" t="s">
        <v>114</v>
      </c>
      <c r="I62" s="6">
        <v>124</v>
      </c>
      <c r="J62" s="6">
        <v>31</v>
      </c>
      <c r="K62" s="6">
        <v>121</v>
      </c>
      <c r="L62" s="6">
        <v>36</v>
      </c>
      <c r="M62" s="6">
        <v>118</v>
      </c>
      <c r="N62" s="6">
        <v>108</v>
      </c>
      <c r="O62" s="6">
        <v>53</v>
      </c>
      <c r="P62" s="6">
        <v>37</v>
      </c>
      <c r="Q62" s="6">
        <v>77</v>
      </c>
      <c r="R62" s="6">
        <v>36</v>
      </c>
      <c r="S62" s="6">
        <v>133</v>
      </c>
      <c r="T62" s="6">
        <v>79</v>
      </c>
      <c r="U62" s="6">
        <v>117</v>
      </c>
      <c r="V62" s="6">
        <v>429</v>
      </c>
      <c r="W62" s="6">
        <v>241</v>
      </c>
      <c r="X62" s="6">
        <v>60</v>
      </c>
      <c r="Y62" s="6">
        <v>422</v>
      </c>
      <c r="Z62" s="6">
        <v>28</v>
      </c>
      <c r="AA62" s="6">
        <v>50</v>
      </c>
      <c r="AB62" s="6">
        <v>117</v>
      </c>
      <c r="AC62" s="6">
        <v>39</v>
      </c>
      <c r="AD62" s="6">
        <v>20</v>
      </c>
      <c r="AE62" s="6">
        <v>78</v>
      </c>
    </row>
    <row r="63" spans="1:31" ht="30.75" thickBot="1" x14ac:dyDescent="0.3">
      <c r="A63" s="3">
        <v>2024</v>
      </c>
      <c r="B63" s="3">
        <v>4</v>
      </c>
      <c r="C63" s="3" t="s">
        <v>58</v>
      </c>
      <c r="D63" s="4" t="s">
        <v>35</v>
      </c>
      <c r="E63" s="3">
        <v>98</v>
      </c>
      <c r="F63" s="5">
        <v>0.38</v>
      </c>
      <c r="G63" s="6" t="s">
        <v>94</v>
      </c>
      <c r="H63" s="6" t="s">
        <v>96</v>
      </c>
      <c r="I63" s="6">
        <v>53</v>
      </c>
      <c r="J63" s="6">
        <v>55</v>
      </c>
      <c r="K63" s="6">
        <v>48</v>
      </c>
      <c r="L63" s="6">
        <v>69</v>
      </c>
      <c r="M63" s="6">
        <v>102</v>
      </c>
      <c r="N63" s="6">
        <v>127</v>
      </c>
      <c r="O63" s="6">
        <v>47</v>
      </c>
      <c r="P63" s="6">
        <v>62</v>
      </c>
      <c r="Q63" s="6">
        <v>84</v>
      </c>
      <c r="R63" s="6">
        <v>75</v>
      </c>
      <c r="S63" s="6">
        <v>63</v>
      </c>
      <c r="T63" s="6">
        <v>56</v>
      </c>
      <c r="U63" s="6">
        <v>58</v>
      </c>
      <c r="V63" s="6">
        <v>229</v>
      </c>
      <c r="W63" s="6">
        <v>197</v>
      </c>
      <c r="X63" s="6">
        <v>69</v>
      </c>
      <c r="Y63" s="6">
        <v>225</v>
      </c>
      <c r="Z63" s="6">
        <v>57</v>
      </c>
      <c r="AA63" s="6">
        <v>338</v>
      </c>
      <c r="AB63" s="6">
        <v>212</v>
      </c>
      <c r="AC63" s="6">
        <v>25</v>
      </c>
      <c r="AD63" s="6">
        <v>63</v>
      </c>
      <c r="AE63" s="6">
        <v>36</v>
      </c>
    </row>
    <row r="64" spans="1:31" ht="30.75" thickBot="1" x14ac:dyDescent="0.3">
      <c r="A64" s="3">
        <v>2024</v>
      </c>
      <c r="B64" s="3">
        <v>4</v>
      </c>
      <c r="C64" s="3" t="s">
        <v>58</v>
      </c>
      <c r="D64" s="4" t="s">
        <v>38</v>
      </c>
      <c r="E64" s="3">
        <v>55</v>
      </c>
      <c r="F64" s="5">
        <v>0.2</v>
      </c>
      <c r="G64" s="6" t="s">
        <v>115</v>
      </c>
      <c r="H64" s="6" t="s">
        <v>112</v>
      </c>
      <c r="I64" s="6">
        <v>105</v>
      </c>
      <c r="J64" s="6">
        <v>118</v>
      </c>
      <c r="K64" s="6">
        <v>87</v>
      </c>
      <c r="L64" s="6">
        <v>45</v>
      </c>
      <c r="M64" s="6">
        <v>54</v>
      </c>
      <c r="N64" s="6">
        <v>94</v>
      </c>
      <c r="O64" s="6">
        <v>47</v>
      </c>
      <c r="P64" s="6">
        <v>101</v>
      </c>
      <c r="Q64" s="6">
        <v>56</v>
      </c>
      <c r="R64" s="6">
        <v>80</v>
      </c>
      <c r="S64" s="6">
        <v>47</v>
      </c>
      <c r="T64" s="6">
        <v>103</v>
      </c>
      <c r="U64" s="6">
        <v>82</v>
      </c>
      <c r="V64" s="6">
        <v>67</v>
      </c>
      <c r="W64" s="6">
        <v>135</v>
      </c>
      <c r="X64" s="6">
        <v>291</v>
      </c>
      <c r="Y64" s="6">
        <v>21</v>
      </c>
      <c r="Z64" s="6">
        <v>28</v>
      </c>
      <c r="AA64" s="6">
        <v>542</v>
      </c>
      <c r="AB64" s="6">
        <v>22</v>
      </c>
      <c r="AC64" s="6">
        <v>53</v>
      </c>
      <c r="AD64" s="6">
        <v>168</v>
      </c>
      <c r="AE64" s="6">
        <v>168</v>
      </c>
    </row>
    <row r="65" spans="1:31" ht="30.75" thickBot="1" x14ac:dyDescent="0.3">
      <c r="A65" s="3">
        <v>2024</v>
      </c>
      <c r="B65" s="3">
        <v>4</v>
      </c>
      <c r="C65" s="3" t="s">
        <v>58</v>
      </c>
      <c r="D65" s="4" t="s">
        <v>40</v>
      </c>
      <c r="E65" s="3">
        <v>42</v>
      </c>
      <c r="F65" s="5">
        <v>0.46</v>
      </c>
      <c r="G65" s="6" t="s">
        <v>116</v>
      </c>
      <c r="H65" s="6" t="s">
        <v>69</v>
      </c>
      <c r="I65" s="6">
        <v>36</v>
      </c>
      <c r="J65" s="6">
        <v>102</v>
      </c>
      <c r="K65" s="6">
        <v>37</v>
      </c>
      <c r="L65" s="6">
        <v>99</v>
      </c>
      <c r="M65" s="6">
        <v>126</v>
      </c>
      <c r="N65" s="6">
        <v>74</v>
      </c>
      <c r="O65" s="6">
        <v>102</v>
      </c>
      <c r="P65" s="6">
        <v>52</v>
      </c>
      <c r="Q65" s="6">
        <v>47</v>
      </c>
      <c r="R65" s="6">
        <v>47</v>
      </c>
      <c r="S65" s="6">
        <v>102</v>
      </c>
      <c r="T65" s="6">
        <v>81</v>
      </c>
      <c r="U65" s="6">
        <v>92</v>
      </c>
      <c r="V65" s="6">
        <v>230</v>
      </c>
      <c r="W65" s="6">
        <v>100</v>
      </c>
      <c r="X65" s="6">
        <v>85</v>
      </c>
      <c r="Y65" s="6">
        <v>26</v>
      </c>
      <c r="Z65" s="6">
        <v>42</v>
      </c>
      <c r="AA65" s="6">
        <v>93</v>
      </c>
      <c r="AB65" s="6">
        <v>130</v>
      </c>
      <c r="AC65" s="6">
        <v>56</v>
      </c>
      <c r="AD65" s="6">
        <v>203</v>
      </c>
      <c r="AE65" s="6">
        <v>245</v>
      </c>
    </row>
    <row r="66" spans="1:31" ht="30.75" thickBot="1" x14ac:dyDescent="0.3">
      <c r="A66" s="3">
        <v>2024</v>
      </c>
      <c r="B66" s="3">
        <v>5</v>
      </c>
      <c r="C66" s="3" t="s">
        <v>65</v>
      </c>
      <c r="D66" s="4" t="s">
        <v>32</v>
      </c>
      <c r="E66" s="3">
        <v>72</v>
      </c>
      <c r="F66" s="5">
        <v>0.5</v>
      </c>
      <c r="G66" s="6" t="s">
        <v>48</v>
      </c>
      <c r="H66" s="6" t="s">
        <v>117</v>
      </c>
      <c r="I66" s="6">
        <v>110</v>
      </c>
      <c r="J66" s="6">
        <v>52</v>
      </c>
      <c r="K66" s="6">
        <v>29</v>
      </c>
      <c r="L66" s="6">
        <v>95</v>
      </c>
      <c r="M66" s="6">
        <v>122</v>
      </c>
      <c r="N66" s="6">
        <v>67</v>
      </c>
      <c r="O66" s="6">
        <v>63</v>
      </c>
      <c r="P66" s="6">
        <v>64</v>
      </c>
      <c r="Q66" s="6">
        <v>61</v>
      </c>
      <c r="R66" s="6">
        <v>38</v>
      </c>
      <c r="S66" s="6">
        <v>58</v>
      </c>
      <c r="T66" s="6">
        <v>107</v>
      </c>
      <c r="U66" s="6">
        <v>110</v>
      </c>
      <c r="V66" s="6">
        <v>43</v>
      </c>
      <c r="W66" s="6">
        <v>355</v>
      </c>
      <c r="X66" s="6">
        <v>57</v>
      </c>
      <c r="Y66" s="6">
        <v>176</v>
      </c>
      <c r="Z66" s="6">
        <v>148</v>
      </c>
      <c r="AA66" s="6">
        <v>35</v>
      </c>
      <c r="AB66" s="6">
        <v>38</v>
      </c>
      <c r="AC66" s="6">
        <v>32</v>
      </c>
      <c r="AD66" s="6">
        <v>175</v>
      </c>
      <c r="AE66" s="6">
        <v>154</v>
      </c>
    </row>
    <row r="67" spans="1:31" ht="30.75" thickBot="1" x14ac:dyDescent="0.3">
      <c r="A67" s="3">
        <v>2024</v>
      </c>
      <c r="B67" s="3">
        <v>5</v>
      </c>
      <c r="C67" s="3" t="s">
        <v>65</v>
      </c>
      <c r="D67" s="4" t="s">
        <v>35</v>
      </c>
      <c r="E67" s="3">
        <v>31</v>
      </c>
      <c r="F67" s="5">
        <v>0.48</v>
      </c>
      <c r="G67" s="6" t="s">
        <v>118</v>
      </c>
      <c r="H67" s="6" t="s">
        <v>96</v>
      </c>
      <c r="I67" s="6">
        <v>56</v>
      </c>
      <c r="J67" s="6">
        <v>63</v>
      </c>
      <c r="K67" s="6">
        <v>117</v>
      </c>
      <c r="L67" s="6">
        <v>114</v>
      </c>
      <c r="M67" s="6">
        <v>32</v>
      </c>
      <c r="N67" s="6">
        <v>116</v>
      </c>
      <c r="O67" s="6">
        <v>36</v>
      </c>
      <c r="P67" s="6">
        <v>126</v>
      </c>
      <c r="Q67" s="6">
        <v>61</v>
      </c>
      <c r="R67" s="6">
        <v>60</v>
      </c>
      <c r="S67" s="6">
        <v>46</v>
      </c>
      <c r="T67" s="6">
        <v>73</v>
      </c>
      <c r="U67" s="6">
        <v>68</v>
      </c>
      <c r="V67" s="6">
        <v>65</v>
      </c>
      <c r="W67" s="6">
        <v>435</v>
      </c>
      <c r="X67" s="6">
        <v>80</v>
      </c>
      <c r="Y67" s="6">
        <v>566</v>
      </c>
      <c r="Z67" s="6">
        <v>15</v>
      </c>
      <c r="AA67" s="6">
        <v>21</v>
      </c>
      <c r="AB67" s="6">
        <v>259</v>
      </c>
      <c r="AC67" s="6">
        <v>317</v>
      </c>
      <c r="AD67" s="6">
        <v>367</v>
      </c>
      <c r="AE67" s="6">
        <v>334</v>
      </c>
    </row>
    <row r="68" spans="1:31" ht="30.75" thickBot="1" x14ac:dyDescent="0.3">
      <c r="A68" s="3">
        <v>2024</v>
      </c>
      <c r="B68" s="3">
        <v>5</v>
      </c>
      <c r="C68" s="3" t="s">
        <v>65</v>
      </c>
      <c r="D68" s="4" t="s">
        <v>38</v>
      </c>
      <c r="E68" s="3">
        <v>65</v>
      </c>
      <c r="F68" s="5">
        <v>0.64</v>
      </c>
      <c r="G68" s="6">
        <v>150</v>
      </c>
      <c r="H68" s="6" t="s">
        <v>112</v>
      </c>
      <c r="I68" s="6">
        <v>93</v>
      </c>
      <c r="J68" s="6">
        <v>55</v>
      </c>
      <c r="K68" s="6">
        <v>86</v>
      </c>
      <c r="L68" s="6">
        <v>94</v>
      </c>
      <c r="M68" s="6">
        <v>83</v>
      </c>
      <c r="N68" s="6">
        <v>96</v>
      </c>
      <c r="O68" s="6">
        <v>71</v>
      </c>
      <c r="P68" s="6">
        <v>77</v>
      </c>
      <c r="Q68" s="6">
        <v>51</v>
      </c>
      <c r="R68" s="6">
        <v>71</v>
      </c>
      <c r="S68" s="6">
        <v>57</v>
      </c>
      <c r="T68" s="6">
        <v>127</v>
      </c>
      <c r="U68" s="6">
        <v>94</v>
      </c>
      <c r="V68" s="6">
        <v>44</v>
      </c>
      <c r="W68" s="6">
        <v>62</v>
      </c>
      <c r="X68" s="6">
        <v>86</v>
      </c>
      <c r="Y68" s="6">
        <v>222</v>
      </c>
      <c r="Z68" s="6">
        <v>43</v>
      </c>
      <c r="AA68" s="6">
        <v>40</v>
      </c>
      <c r="AB68" s="6">
        <v>112</v>
      </c>
      <c r="AC68" s="6">
        <v>57</v>
      </c>
      <c r="AD68" s="6">
        <v>372</v>
      </c>
      <c r="AE68" s="6">
        <v>116</v>
      </c>
    </row>
    <row r="69" spans="1:31" ht="30.75" thickBot="1" x14ac:dyDescent="0.3">
      <c r="A69" s="3">
        <v>2024</v>
      </c>
      <c r="B69" s="3">
        <v>5</v>
      </c>
      <c r="C69" s="3" t="s">
        <v>65</v>
      </c>
      <c r="D69" s="4" t="s">
        <v>40</v>
      </c>
      <c r="E69" s="3">
        <v>28</v>
      </c>
      <c r="F69" s="5">
        <v>0.46</v>
      </c>
      <c r="G69" s="6" t="s">
        <v>119</v>
      </c>
      <c r="H69" s="6" t="s">
        <v>108</v>
      </c>
      <c r="I69" s="6">
        <v>99</v>
      </c>
      <c r="J69" s="6">
        <v>54</v>
      </c>
      <c r="K69" s="6">
        <v>34</v>
      </c>
      <c r="L69" s="6">
        <v>57</v>
      </c>
      <c r="M69" s="6">
        <v>41</v>
      </c>
      <c r="N69" s="6">
        <v>27</v>
      </c>
      <c r="O69" s="6">
        <v>58</v>
      </c>
      <c r="P69" s="6">
        <v>77</v>
      </c>
      <c r="Q69" s="6">
        <v>39</v>
      </c>
      <c r="R69" s="6">
        <v>60</v>
      </c>
      <c r="S69" s="6">
        <v>61</v>
      </c>
      <c r="T69" s="6">
        <v>117</v>
      </c>
      <c r="U69" s="6">
        <v>120</v>
      </c>
      <c r="V69" s="6">
        <v>184</v>
      </c>
      <c r="W69" s="6">
        <v>305</v>
      </c>
      <c r="X69" s="6">
        <v>420</v>
      </c>
      <c r="Y69" s="6">
        <v>93</v>
      </c>
      <c r="Z69" s="6">
        <v>163</v>
      </c>
      <c r="AA69" s="6">
        <v>25</v>
      </c>
      <c r="AB69" s="6">
        <v>240</v>
      </c>
      <c r="AC69" s="6">
        <v>132</v>
      </c>
      <c r="AD69" s="6">
        <v>83</v>
      </c>
      <c r="AE69" s="6">
        <v>145</v>
      </c>
    </row>
    <row r="70" spans="1:31" ht="30.75" thickBot="1" x14ac:dyDescent="0.3">
      <c r="A70" s="3">
        <v>2024</v>
      </c>
      <c r="B70" s="3">
        <v>6</v>
      </c>
      <c r="C70" s="3" t="s">
        <v>71</v>
      </c>
      <c r="D70" s="4" t="s">
        <v>32</v>
      </c>
      <c r="E70" s="3">
        <v>126</v>
      </c>
      <c r="F70" s="5">
        <v>0.56999999999999995</v>
      </c>
      <c r="G70" s="6" t="s">
        <v>120</v>
      </c>
      <c r="H70" s="6" t="s">
        <v>47</v>
      </c>
      <c r="I70" s="6">
        <v>89</v>
      </c>
      <c r="J70" s="6">
        <v>73</v>
      </c>
      <c r="K70" s="6">
        <v>95</v>
      </c>
      <c r="L70" s="6">
        <v>95</v>
      </c>
      <c r="M70" s="6">
        <v>99</v>
      </c>
      <c r="N70" s="6">
        <v>124</v>
      </c>
      <c r="O70" s="6">
        <v>50</v>
      </c>
      <c r="P70" s="6">
        <v>80</v>
      </c>
      <c r="Q70" s="6">
        <v>64</v>
      </c>
      <c r="R70" s="6">
        <v>107</v>
      </c>
      <c r="S70" s="6">
        <v>79</v>
      </c>
      <c r="T70" s="6">
        <v>65</v>
      </c>
      <c r="U70" s="6">
        <v>34</v>
      </c>
      <c r="V70" s="6">
        <v>566</v>
      </c>
      <c r="W70" s="6">
        <v>637</v>
      </c>
      <c r="X70" s="6">
        <v>35</v>
      </c>
      <c r="Y70" s="6">
        <v>112</v>
      </c>
      <c r="Z70" s="6">
        <v>93</v>
      </c>
      <c r="AA70" s="6">
        <v>102</v>
      </c>
      <c r="AB70" s="6">
        <v>120</v>
      </c>
      <c r="AC70" s="6">
        <v>138</v>
      </c>
      <c r="AD70" s="6">
        <v>136</v>
      </c>
      <c r="AE70" s="6">
        <v>46</v>
      </c>
    </row>
    <row r="71" spans="1:31" ht="30.75" thickBot="1" x14ac:dyDescent="0.3">
      <c r="A71" s="3">
        <v>2024</v>
      </c>
      <c r="B71" s="3">
        <v>6</v>
      </c>
      <c r="C71" s="3" t="s">
        <v>71</v>
      </c>
      <c r="D71" s="4" t="s">
        <v>35</v>
      </c>
      <c r="E71" s="3">
        <v>61</v>
      </c>
      <c r="F71" s="5">
        <v>0.66</v>
      </c>
      <c r="G71" s="6" t="s">
        <v>33</v>
      </c>
      <c r="H71" s="6" t="s">
        <v>45</v>
      </c>
      <c r="I71" s="6">
        <v>71</v>
      </c>
      <c r="J71" s="6">
        <v>99</v>
      </c>
      <c r="K71" s="6">
        <v>68</v>
      </c>
      <c r="L71" s="6">
        <v>57</v>
      </c>
      <c r="M71" s="6">
        <v>60</v>
      </c>
      <c r="N71" s="6">
        <v>89</v>
      </c>
      <c r="O71" s="6">
        <v>94</v>
      </c>
      <c r="P71" s="6">
        <v>45</v>
      </c>
      <c r="Q71" s="6">
        <v>136</v>
      </c>
      <c r="R71" s="6">
        <v>71</v>
      </c>
      <c r="S71" s="6">
        <v>77</v>
      </c>
      <c r="T71" s="6">
        <v>70</v>
      </c>
      <c r="U71" s="6">
        <v>111</v>
      </c>
      <c r="V71" s="6">
        <v>232</v>
      </c>
      <c r="W71" s="6">
        <v>126</v>
      </c>
      <c r="X71" s="6">
        <v>79</v>
      </c>
      <c r="Y71" s="6">
        <v>342</v>
      </c>
      <c r="Z71" s="6">
        <v>5</v>
      </c>
      <c r="AA71" s="6">
        <v>114</v>
      </c>
      <c r="AB71" s="6">
        <v>132</v>
      </c>
      <c r="AC71" s="6">
        <v>5</v>
      </c>
      <c r="AD71" s="6">
        <v>105</v>
      </c>
      <c r="AE71" s="6">
        <v>64</v>
      </c>
    </row>
    <row r="72" spans="1:31" ht="30.75" thickBot="1" x14ac:dyDescent="0.3">
      <c r="A72" s="3">
        <v>2024</v>
      </c>
      <c r="B72" s="3">
        <v>6</v>
      </c>
      <c r="C72" s="3" t="s">
        <v>71</v>
      </c>
      <c r="D72" s="4" t="s">
        <v>38</v>
      </c>
      <c r="E72" s="3">
        <v>113</v>
      </c>
      <c r="F72" s="5">
        <v>0.23</v>
      </c>
      <c r="G72" s="6">
        <v>145</v>
      </c>
      <c r="H72" s="6" t="s">
        <v>112</v>
      </c>
      <c r="I72" s="6">
        <v>96</v>
      </c>
      <c r="J72" s="6">
        <v>103</v>
      </c>
      <c r="K72" s="6">
        <v>91</v>
      </c>
      <c r="L72" s="6">
        <v>125</v>
      </c>
      <c r="M72" s="6">
        <v>61</v>
      </c>
      <c r="N72" s="6">
        <v>136</v>
      </c>
      <c r="O72" s="6">
        <v>53</v>
      </c>
      <c r="P72" s="6">
        <v>58</v>
      </c>
      <c r="Q72" s="6">
        <v>115</v>
      </c>
      <c r="R72" s="6">
        <v>62</v>
      </c>
      <c r="S72" s="6">
        <v>73</v>
      </c>
      <c r="T72" s="6">
        <v>49</v>
      </c>
      <c r="U72" s="6">
        <v>125</v>
      </c>
      <c r="V72" s="6">
        <v>75</v>
      </c>
      <c r="W72" s="6">
        <v>16</v>
      </c>
      <c r="X72" s="6">
        <v>100</v>
      </c>
      <c r="Y72" s="6">
        <v>142</v>
      </c>
      <c r="Z72" s="6">
        <v>91</v>
      </c>
      <c r="AA72" s="6">
        <v>134</v>
      </c>
      <c r="AB72" s="6">
        <v>267</v>
      </c>
      <c r="AC72" s="6">
        <v>314</v>
      </c>
      <c r="AD72" s="6">
        <v>22</v>
      </c>
      <c r="AE72" s="6">
        <v>72</v>
      </c>
    </row>
    <row r="73" spans="1:31" ht="30.75" thickBot="1" x14ac:dyDescent="0.3">
      <c r="A73" s="3">
        <v>2024</v>
      </c>
      <c r="B73" s="3">
        <v>6</v>
      </c>
      <c r="C73" s="3" t="s">
        <v>71</v>
      </c>
      <c r="D73" s="4" t="s">
        <v>40</v>
      </c>
      <c r="E73" s="3">
        <v>117</v>
      </c>
      <c r="F73" s="5">
        <v>0.64</v>
      </c>
      <c r="G73" s="6" t="s">
        <v>54</v>
      </c>
      <c r="H73" s="6" t="s">
        <v>121</v>
      </c>
      <c r="I73" s="6">
        <v>103</v>
      </c>
      <c r="J73" s="6">
        <v>40</v>
      </c>
      <c r="K73" s="6">
        <v>109</v>
      </c>
      <c r="L73" s="6">
        <v>64</v>
      </c>
      <c r="M73" s="6">
        <v>94</v>
      </c>
      <c r="N73" s="6">
        <v>54</v>
      </c>
      <c r="O73" s="6">
        <v>80</v>
      </c>
      <c r="P73" s="6">
        <v>93</v>
      </c>
      <c r="Q73" s="6">
        <v>44</v>
      </c>
      <c r="R73" s="6">
        <v>73</v>
      </c>
      <c r="S73" s="6">
        <v>119</v>
      </c>
      <c r="T73" s="6">
        <v>44</v>
      </c>
      <c r="U73" s="6">
        <v>50</v>
      </c>
      <c r="V73" s="6">
        <v>19</v>
      </c>
      <c r="W73" s="6">
        <v>273</v>
      </c>
      <c r="X73" s="6">
        <v>43</v>
      </c>
      <c r="Y73" s="6">
        <v>116</v>
      </c>
      <c r="Z73" s="6">
        <v>80</v>
      </c>
      <c r="AA73" s="6">
        <v>225</v>
      </c>
      <c r="AB73" s="6">
        <v>160</v>
      </c>
      <c r="AC73" s="6">
        <v>114</v>
      </c>
      <c r="AD73" s="6">
        <v>146</v>
      </c>
      <c r="AE73" s="6">
        <v>33</v>
      </c>
    </row>
    <row r="74" spans="1:31" ht="30.75" thickBot="1" x14ac:dyDescent="0.3">
      <c r="A74" s="3">
        <v>2024</v>
      </c>
      <c r="B74" s="3">
        <v>7</v>
      </c>
      <c r="C74" s="3" t="s">
        <v>76</v>
      </c>
      <c r="D74" s="4" t="s">
        <v>32</v>
      </c>
      <c r="E74" s="3">
        <v>46</v>
      </c>
      <c r="F74" s="5">
        <v>0.25</v>
      </c>
      <c r="G74" s="6" t="s">
        <v>122</v>
      </c>
      <c r="H74" s="6" t="s">
        <v>69</v>
      </c>
      <c r="I74" s="6">
        <v>60</v>
      </c>
      <c r="J74" s="6">
        <v>44</v>
      </c>
      <c r="K74" s="6">
        <v>97</v>
      </c>
      <c r="L74" s="6">
        <v>131</v>
      </c>
      <c r="M74" s="6">
        <v>65</v>
      </c>
      <c r="N74" s="6">
        <v>96</v>
      </c>
      <c r="O74" s="6">
        <v>72</v>
      </c>
      <c r="P74" s="6">
        <v>55</v>
      </c>
      <c r="Q74" s="6">
        <v>48</v>
      </c>
      <c r="R74" s="6">
        <v>115</v>
      </c>
      <c r="S74" s="6">
        <v>80</v>
      </c>
      <c r="T74" s="6">
        <v>60</v>
      </c>
      <c r="U74" s="6">
        <v>98</v>
      </c>
      <c r="V74" s="6">
        <v>72</v>
      </c>
      <c r="W74" s="6">
        <v>95</v>
      </c>
      <c r="X74" s="6">
        <v>162</v>
      </c>
      <c r="Y74" s="6">
        <v>51</v>
      </c>
      <c r="Z74" s="6">
        <v>231</v>
      </c>
      <c r="AA74" s="6">
        <v>128</v>
      </c>
      <c r="AB74" s="6">
        <v>44</v>
      </c>
      <c r="AC74" s="6">
        <v>48</v>
      </c>
      <c r="AD74" s="6">
        <v>172</v>
      </c>
      <c r="AE74" s="6">
        <v>120</v>
      </c>
    </row>
    <row r="75" spans="1:31" ht="30.75" thickBot="1" x14ac:dyDescent="0.3">
      <c r="A75" s="3">
        <v>2024</v>
      </c>
      <c r="B75" s="3">
        <v>7</v>
      </c>
      <c r="C75" s="3" t="s">
        <v>76</v>
      </c>
      <c r="D75" s="4" t="s">
        <v>35</v>
      </c>
      <c r="E75" s="3">
        <v>116</v>
      </c>
      <c r="F75" s="5">
        <v>0.46</v>
      </c>
      <c r="G75" s="6" t="s">
        <v>123</v>
      </c>
      <c r="H75" s="6" t="s">
        <v>51</v>
      </c>
      <c r="I75" s="6">
        <v>55</v>
      </c>
      <c r="J75" s="6">
        <v>58</v>
      </c>
      <c r="K75" s="6">
        <v>92</v>
      </c>
      <c r="L75" s="6">
        <v>79</v>
      </c>
      <c r="M75" s="6">
        <v>84</v>
      </c>
      <c r="N75" s="6">
        <v>45</v>
      </c>
      <c r="O75" s="6">
        <v>147</v>
      </c>
      <c r="P75" s="6">
        <v>63</v>
      </c>
      <c r="Q75" s="6">
        <v>46</v>
      </c>
      <c r="R75" s="6">
        <v>79</v>
      </c>
      <c r="S75" s="6">
        <v>69</v>
      </c>
      <c r="T75" s="6">
        <v>83</v>
      </c>
      <c r="U75" s="6">
        <v>66</v>
      </c>
      <c r="V75" s="6">
        <v>50</v>
      </c>
      <c r="W75" s="6">
        <v>143</v>
      </c>
      <c r="X75" s="6">
        <v>234</v>
      </c>
      <c r="Y75" s="6">
        <v>144</v>
      </c>
      <c r="Z75" s="6">
        <v>44</v>
      </c>
      <c r="AA75" s="6">
        <v>170</v>
      </c>
      <c r="AB75" s="6">
        <v>210</v>
      </c>
      <c r="AC75" s="6">
        <v>38</v>
      </c>
      <c r="AD75" s="6">
        <v>255</v>
      </c>
      <c r="AE75" s="6">
        <v>27</v>
      </c>
    </row>
    <row r="76" spans="1:31" ht="30.75" thickBot="1" x14ac:dyDescent="0.3">
      <c r="A76" s="3">
        <v>2024</v>
      </c>
      <c r="B76" s="3">
        <v>7</v>
      </c>
      <c r="C76" s="3" t="s">
        <v>76</v>
      </c>
      <c r="D76" s="4" t="s">
        <v>38</v>
      </c>
      <c r="E76" s="3">
        <v>77</v>
      </c>
      <c r="F76" s="5">
        <v>0.5</v>
      </c>
      <c r="G76" s="6" t="s">
        <v>104</v>
      </c>
      <c r="H76" s="6" t="s">
        <v>124</v>
      </c>
      <c r="I76" s="6">
        <v>51</v>
      </c>
      <c r="J76" s="6">
        <v>42</v>
      </c>
      <c r="K76" s="6">
        <v>35</v>
      </c>
      <c r="L76" s="6">
        <v>96</v>
      </c>
      <c r="M76" s="6">
        <v>54</v>
      </c>
      <c r="N76" s="6">
        <v>41</v>
      </c>
      <c r="O76" s="6">
        <v>63</v>
      </c>
      <c r="P76" s="6">
        <v>121</v>
      </c>
      <c r="Q76" s="6">
        <v>44</v>
      </c>
      <c r="R76" s="6">
        <v>54</v>
      </c>
      <c r="S76" s="6">
        <v>79</v>
      </c>
      <c r="T76" s="6">
        <v>60</v>
      </c>
      <c r="U76" s="6">
        <v>27</v>
      </c>
      <c r="V76" s="6">
        <v>111</v>
      </c>
      <c r="W76" s="6">
        <v>39</v>
      </c>
      <c r="X76" s="6">
        <v>40</v>
      </c>
      <c r="Y76" s="6">
        <v>285</v>
      </c>
      <c r="Z76" s="6">
        <v>180</v>
      </c>
      <c r="AA76" s="6">
        <v>165</v>
      </c>
      <c r="AB76" s="6">
        <v>377</v>
      </c>
      <c r="AC76" s="6">
        <v>42</v>
      </c>
      <c r="AD76" s="6">
        <v>76</v>
      </c>
      <c r="AE76" s="6">
        <v>63</v>
      </c>
    </row>
    <row r="77" spans="1:31" ht="30.75" thickBot="1" x14ac:dyDescent="0.3">
      <c r="A77" s="3">
        <v>2024</v>
      </c>
      <c r="B77" s="3">
        <v>7</v>
      </c>
      <c r="C77" s="3" t="s">
        <v>76</v>
      </c>
      <c r="D77" s="4" t="s">
        <v>40</v>
      </c>
      <c r="E77" s="3">
        <v>119</v>
      </c>
      <c r="F77" s="5">
        <v>0.52</v>
      </c>
      <c r="G77" s="6" t="s">
        <v>119</v>
      </c>
      <c r="H77" s="6" t="s">
        <v>64</v>
      </c>
      <c r="I77" s="6">
        <v>40</v>
      </c>
      <c r="J77" s="6">
        <v>69</v>
      </c>
      <c r="K77" s="6">
        <v>93</v>
      </c>
      <c r="L77" s="6">
        <v>134</v>
      </c>
      <c r="M77" s="6">
        <v>107</v>
      </c>
      <c r="N77" s="6">
        <v>46</v>
      </c>
      <c r="O77" s="6">
        <v>38</v>
      </c>
      <c r="P77" s="6">
        <v>113</v>
      </c>
      <c r="Q77" s="6">
        <v>54</v>
      </c>
      <c r="R77" s="6">
        <v>42</v>
      </c>
      <c r="S77" s="6">
        <v>133</v>
      </c>
      <c r="T77" s="6">
        <v>49</v>
      </c>
      <c r="U77" s="6">
        <v>86</v>
      </c>
      <c r="V77" s="6">
        <v>60</v>
      </c>
      <c r="W77" s="6">
        <v>231</v>
      </c>
      <c r="X77" s="6">
        <v>210</v>
      </c>
      <c r="Y77" s="6">
        <v>44</v>
      </c>
      <c r="Z77" s="6">
        <v>84</v>
      </c>
      <c r="AA77" s="6">
        <v>237</v>
      </c>
      <c r="AB77" s="6">
        <v>76</v>
      </c>
      <c r="AC77" s="6">
        <v>11</v>
      </c>
      <c r="AD77" s="6">
        <v>110</v>
      </c>
      <c r="AE77" s="6">
        <v>122</v>
      </c>
    </row>
    <row r="78" spans="1:31" ht="30.75" thickBot="1" x14ac:dyDescent="0.3">
      <c r="A78" s="3">
        <v>2024</v>
      </c>
      <c r="B78" s="3">
        <v>8</v>
      </c>
      <c r="C78" s="3" t="s">
        <v>81</v>
      </c>
      <c r="D78" s="4" t="s">
        <v>32</v>
      </c>
      <c r="E78" s="3">
        <v>126</v>
      </c>
      <c r="F78" s="5">
        <v>0.48</v>
      </c>
      <c r="G78" s="6">
        <v>35</v>
      </c>
      <c r="H78" s="6" t="s">
        <v>57</v>
      </c>
      <c r="I78" s="6">
        <v>89</v>
      </c>
      <c r="J78" s="6">
        <v>76</v>
      </c>
      <c r="K78" s="6">
        <v>25</v>
      </c>
      <c r="L78" s="6">
        <v>70</v>
      </c>
      <c r="M78" s="6">
        <v>103</v>
      </c>
      <c r="N78" s="6">
        <v>71</v>
      </c>
      <c r="O78" s="6">
        <v>136</v>
      </c>
      <c r="P78" s="6">
        <v>83</v>
      </c>
      <c r="Q78" s="6">
        <v>41</v>
      </c>
      <c r="R78" s="6">
        <v>76</v>
      </c>
      <c r="S78" s="6">
        <v>86</v>
      </c>
      <c r="T78" s="6">
        <v>82</v>
      </c>
      <c r="U78" s="6">
        <v>105</v>
      </c>
      <c r="V78" s="6">
        <v>103</v>
      </c>
      <c r="W78" s="6">
        <v>154</v>
      </c>
      <c r="X78" s="6">
        <v>92</v>
      </c>
      <c r="Y78" s="6">
        <v>83</v>
      </c>
      <c r="Z78" s="6">
        <v>208</v>
      </c>
      <c r="AA78" s="6">
        <v>360</v>
      </c>
      <c r="AB78" s="6">
        <v>140</v>
      </c>
      <c r="AC78" s="6">
        <v>427</v>
      </c>
      <c r="AD78" s="6">
        <v>396</v>
      </c>
      <c r="AE78" s="6">
        <v>281</v>
      </c>
    </row>
    <row r="79" spans="1:31" ht="30.75" thickBot="1" x14ac:dyDescent="0.3">
      <c r="A79" s="3">
        <v>2024</v>
      </c>
      <c r="B79" s="3">
        <v>8</v>
      </c>
      <c r="C79" s="3" t="s">
        <v>81</v>
      </c>
      <c r="D79" s="4" t="s">
        <v>35</v>
      </c>
      <c r="E79" s="3">
        <v>120</v>
      </c>
      <c r="F79" s="5">
        <v>0.46</v>
      </c>
      <c r="G79" s="6" t="s">
        <v>125</v>
      </c>
      <c r="H79" s="6" t="s">
        <v>113</v>
      </c>
      <c r="I79" s="6">
        <v>69</v>
      </c>
      <c r="J79" s="6">
        <v>65</v>
      </c>
      <c r="K79" s="6">
        <v>57</v>
      </c>
      <c r="L79" s="6">
        <v>42</v>
      </c>
      <c r="M79" s="6">
        <v>71</v>
      </c>
      <c r="N79" s="6">
        <v>70</v>
      </c>
      <c r="O79" s="6">
        <v>42</v>
      </c>
      <c r="P79" s="6">
        <v>27</v>
      </c>
      <c r="Q79" s="6">
        <v>141</v>
      </c>
      <c r="R79" s="6">
        <v>134</v>
      </c>
      <c r="S79" s="6">
        <v>48</v>
      </c>
      <c r="T79" s="6">
        <v>74</v>
      </c>
      <c r="U79" s="6">
        <v>17</v>
      </c>
      <c r="V79" s="6">
        <v>59</v>
      </c>
      <c r="W79" s="6">
        <v>132</v>
      </c>
      <c r="X79" s="6">
        <v>372</v>
      </c>
      <c r="Y79" s="6">
        <v>83</v>
      </c>
      <c r="Z79" s="6">
        <v>75</v>
      </c>
      <c r="AA79" s="6">
        <v>250</v>
      </c>
      <c r="AB79" s="6">
        <v>145</v>
      </c>
      <c r="AC79" s="6">
        <v>355</v>
      </c>
      <c r="AD79" s="6">
        <v>292</v>
      </c>
      <c r="AE79" s="6">
        <v>448</v>
      </c>
    </row>
    <row r="80" spans="1:31" ht="30.75" thickBot="1" x14ac:dyDescent="0.3">
      <c r="A80" s="3">
        <v>2024</v>
      </c>
      <c r="B80" s="3">
        <v>8</v>
      </c>
      <c r="C80" s="3" t="s">
        <v>81</v>
      </c>
      <c r="D80" s="4" t="s">
        <v>38</v>
      </c>
      <c r="E80" s="3">
        <v>110</v>
      </c>
      <c r="F80" s="5">
        <v>0.57999999999999996</v>
      </c>
      <c r="G80" s="6" t="s">
        <v>106</v>
      </c>
      <c r="H80" s="6" t="s">
        <v>67</v>
      </c>
      <c r="I80" s="6">
        <v>41</v>
      </c>
      <c r="J80" s="6">
        <v>49</v>
      </c>
      <c r="K80" s="6">
        <v>60</v>
      </c>
      <c r="L80" s="6">
        <v>57</v>
      </c>
      <c r="M80" s="6">
        <v>38</v>
      </c>
      <c r="N80" s="6">
        <v>51</v>
      </c>
      <c r="O80" s="6">
        <v>36</v>
      </c>
      <c r="P80" s="6">
        <v>97</v>
      </c>
      <c r="Q80" s="6">
        <v>98</v>
      </c>
      <c r="R80" s="6">
        <v>71</v>
      </c>
      <c r="S80" s="6">
        <v>77</v>
      </c>
      <c r="T80" s="6">
        <v>82</v>
      </c>
      <c r="U80" s="6">
        <v>74</v>
      </c>
      <c r="V80" s="6">
        <v>672</v>
      </c>
      <c r="W80" s="6">
        <v>16</v>
      </c>
      <c r="X80" s="6">
        <v>177</v>
      </c>
      <c r="Y80" s="6">
        <v>110</v>
      </c>
      <c r="Z80" s="6">
        <v>180</v>
      </c>
      <c r="AA80" s="6">
        <v>161</v>
      </c>
      <c r="AB80" s="6">
        <v>188</v>
      </c>
      <c r="AC80" s="6">
        <v>198</v>
      </c>
      <c r="AD80" s="6">
        <v>54</v>
      </c>
      <c r="AE80" s="6">
        <v>136</v>
      </c>
    </row>
    <row r="81" spans="1:31" ht="30.75" thickBot="1" x14ac:dyDescent="0.3">
      <c r="A81" s="3">
        <v>2024</v>
      </c>
      <c r="B81" s="3">
        <v>8</v>
      </c>
      <c r="C81" s="3" t="s">
        <v>81</v>
      </c>
      <c r="D81" s="4" t="s">
        <v>40</v>
      </c>
      <c r="E81" s="3">
        <v>27</v>
      </c>
      <c r="F81" s="5">
        <v>0.26</v>
      </c>
      <c r="G81" s="6">
        <v>90</v>
      </c>
      <c r="H81" s="6" t="s">
        <v>105</v>
      </c>
      <c r="I81" s="6">
        <v>48</v>
      </c>
      <c r="J81" s="6">
        <v>49</v>
      </c>
      <c r="K81" s="6">
        <v>62</v>
      </c>
      <c r="L81" s="6">
        <v>93</v>
      </c>
      <c r="M81" s="6">
        <v>69</v>
      </c>
      <c r="N81" s="6">
        <v>63</v>
      </c>
      <c r="O81" s="6">
        <v>112</v>
      </c>
      <c r="P81" s="6">
        <v>51</v>
      </c>
      <c r="Q81" s="6">
        <v>74</v>
      </c>
      <c r="R81" s="6">
        <v>74</v>
      </c>
      <c r="S81" s="6">
        <v>74</v>
      </c>
      <c r="T81" s="6">
        <v>75</v>
      </c>
      <c r="U81" s="6">
        <v>63</v>
      </c>
      <c r="V81" s="6">
        <v>46</v>
      </c>
      <c r="W81" s="6">
        <v>55</v>
      </c>
      <c r="X81" s="6">
        <v>147</v>
      </c>
      <c r="Y81" s="6">
        <v>94</v>
      </c>
      <c r="Z81" s="6">
        <v>140</v>
      </c>
      <c r="AA81" s="6">
        <v>65</v>
      </c>
      <c r="AB81" s="6">
        <v>107</v>
      </c>
      <c r="AC81" s="6">
        <v>16</v>
      </c>
      <c r="AD81" s="6">
        <v>139</v>
      </c>
      <c r="AE81" s="6">
        <v>660</v>
      </c>
    </row>
    <row r="82" spans="1:31" ht="30.75" thickBot="1" x14ac:dyDescent="0.3">
      <c r="A82" s="3">
        <v>2024</v>
      </c>
      <c r="B82" s="3">
        <v>9</v>
      </c>
      <c r="C82" s="3" t="s">
        <v>87</v>
      </c>
      <c r="D82" s="4" t="s">
        <v>32</v>
      </c>
      <c r="E82" s="3">
        <v>123</v>
      </c>
      <c r="F82" s="5">
        <v>0.41</v>
      </c>
      <c r="G82" s="6" t="s">
        <v>126</v>
      </c>
      <c r="H82" s="6">
        <v>21</v>
      </c>
      <c r="I82" s="6">
        <v>78</v>
      </c>
      <c r="J82" s="6">
        <v>42</v>
      </c>
      <c r="K82" s="6">
        <v>60</v>
      </c>
      <c r="L82" s="6">
        <v>92</v>
      </c>
      <c r="M82" s="6">
        <v>99</v>
      </c>
      <c r="N82" s="6">
        <v>82</v>
      </c>
      <c r="O82" s="6">
        <v>75</v>
      </c>
      <c r="P82" s="6">
        <v>120</v>
      </c>
      <c r="Q82" s="6">
        <v>59</v>
      </c>
      <c r="R82" s="6">
        <v>126</v>
      </c>
      <c r="S82" s="6">
        <v>65</v>
      </c>
      <c r="T82" s="6">
        <v>53</v>
      </c>
      <c r="U82" s="6">
        <v>101</v>
      </c>
      <c r="V82" s="6">
        <v>83</v>
      </c>
      <c r="W82" s="6">
        <v>156</v>
      </c>
      <c r="X82" s="6">
        <v>131</v>
      </c>
      <c r="Y82" s="6">
        <v>93</v>
      </c>
      <c r="Z82" s="6">
        <v>133</v>
      </c>
      <c r="AA82" s="6">
        <v>40</v>
      </c>
      <c r="AB82" s="6">
        <v>85</v>
      </c>
      <c r="AC82" s="6">
        <v>197</v>
      </c>
      <c r="AD82" s="6">
        <v>187</v>
      </c>
      <c r="AE82" s="6">
        <v>200</v>
      </c>
    </row>
    <row r="83" spans="1:31" ht="30.75" thickBot="1" x14ac:dyDescent="0.3">
      <c r="A83" s="3">
        <v>2024</v>
      </c>
      <c r="B83" s="3">
        <v>9</v>
      </c>
      <c r="C83" s="3" t="s">
        <v>87</v>
      </c>
      <c r="D83" s="4" t="s">
        <v>35</v>
      </c>
      <c r="E83" s="3">
        <v>29</v>
      </c>
      <c r="F83" s="5">
        <v>0.6</v>
      </c>
      <c r="G83" s="6" t="s">
        <v>127</v>
      </c>
      <c r="H83" s="6" t="s">
        <v>62</v>
      </c>
      <c r="I83" s="6">
        <v>85</v>
      </c>
      <c r="J83" s="6">
        <v>44</v>
      </c>
      <c r="K83" s="6">
        <v>91</v>
      </c>
      <c r="L83" s="6">
        <v>88</v>
      </c>
      <c r="M83" s="6">
        <v>69</v>
      </c>
      <c r="N83" s="6">
        <v>35</v>
      </c>
      <c r="O83" s="6">
        <v>138</v>
      </c>
      <c r="P83" s="6">
        <v>81</v>
      </c>
      <c r="Q83" s="6">
        <v>111</v>
      </c>
      <c r="R83" s="6">
        <v>92</v>
      </c>
      <c r="S83" s="6">
        <v>119</v>
      </c>
      <c r="T83" s="6">
        <v>102</v>
      </c>
      <c r="U83" s="6">
        <v>121</v>
      </c>
      <c r="V83" s="6">
        <v>9</v>
      </c>
      <c r="W83" s="6">
        <v>232</v>
      </c>
      <c r="X83" s="6">
        <v>38</v>
      </c>
      <c r="Y83" s="6">
        <v>220</v>
      </c>
      <c r="Z83" s="6">
        <v>290</v>
      </c>
      <c r="AA83" s="6">
        <v>9</v>
      </c>
      <c r="AB83" s="6">
        <v>412</v>
      </c>
      <c r="AC83" s="6">
        <v>173</v>
      </c>
      <c r="AD83" s="6">
        <v>97</v>
      </c>
      <c r="AE83" s="6">
        <v>133</v>
      </c>
    </row>
    <row r="84" spans="1:31" ht="30.75" thickBot="1" x14ac:dyDescent="0.3">
      <c r="A84" s="3">
        <v>2024</v>
      </c>
      <c r="B84" s="3">
        <v>9</v>
      </c>
      <c r="C84" s="3" t="s">
        <v>87</v>
      </c>
      <c r="D84" s="4" t="s">
        <v>38</v>
      </c>
      <c r="E84" s="3">
        <v>87</v>
      </c>
      <c r="F84" s="5">
        <v>0.41</v>
      </c>
      <c r="G84" s="6" t="s">
        <v>83</v>
      </c>
      <c r="H84" s="6" t="s">
        <v>105</v>
      </c>
      <c r="I84" s="6">
        <v>90</v>
      </c>
      <c r="J84" s="6">
        <v>87</v>
      </c>
      <c r="K84" s="6">
        <v>126</v>
      </c>
      <c r="L84" s="6">
        <v>125</v>
      </c>
      <c r="M84" s="6">
        <v>100</v>
      </c>
      <c r="N84" s="6">
        <v>52</v>
      </c>
      <c r="O84" s="6">
        <v>59</v>
      </c>
      <c r="P84" s="6">
        <v>78</v>
      </c>
      <c r="Q84" s="6">
        <v>72</v>
      </c>
      <c r="R84" s="6">
        <v>60</v>
      </c>
      <c r="S84" s="6">
        <v>52</v>
      </c>
      <c r="T84" s="6">
        <v>76</v>
      </c>
      <c r="U84" s="6">
        <v>93</v>
      </c>
      <c r="V84" s="6">
        <v>206</v>
      </c>
      <c r="W84" s="6">
        <v>49</v>
      </c>
      <c r="X84" s="6">
        <v>88</v>
      </c>
      <c r="Y84" s="6">
        <v>208</v>
      </c>
      <c r="Z84" s="6">
        <v>14</v>
      </c>
      <c r="AA84" s="6">
        <v>10</v>
      </c>
      <c r="AB84" s="6">
        <v>33</v>
      </c>
      <c r="AC84" s="6">
        <v>31</v>
      </c>
      <c r="AD84" s="6">
        <v>947</v>
      </c>
      <c r="AE84" s="6">
        <v>316</v>
      </c>
    </row>
    <row r="85" spans="1:31" ht="30.75" thickBot="1" x14ac:dyDescent="0.3">
      <c r="A85" s="3">
        <v>2024</v>
      </c>
      <c r="B85" s="3">
        <v>9</v>
      </c>
      <c r="C85" s="3" t="s">
        <v>87</v>
      </c>
      <c r="D85" s="4" t="s">
        <v>40</v>
      </c>
      <c r="E85" s="3">
        <v>34</v>
      </c>
      <c r="F85" s="5">
        <v>0.59</v>
      </c>
      <c r="G85" s="6">
        <v>35</v>
      </c>
      <c r="H85" s="6" t="s">
        <v>86</v>
      </c>
      <c r="I85" s="6">
        <v>57</v>
      </c>
      <c r="J85" s="6">
        <v>68</v>
      </c>
      <c r="K85" s="6">
        <v>82</v>
      </c>
      <c r="L85" s="6">
        <v>52</v>
      </c>
      <c r="M85" s="6">
        <v>92</v>
      </c>
      <c r="N85" s="6">
        <v>32</v>
      </c>
      <c r="O85" s="6">
        <v>111</v>
      </c>
      <c r="P85" s="6">
        <v>30</v>
      </c>
      <c r="Q85" s="6">
        <v>90</v>
      </c>
      <c r="R85" s="6">
        <v>72</v>
      </c>
      <c r="S85" s="6">
        <v>106</v>
      </c>
      <c r="T85" s="6">
        <v>83</v>
      </c>
      <c r="U85" s="6">
        <v>51</v>
      </c>
      <c r="V85" s="6">
        <v>230</v>
      </c>
      <c r="W85" s="6">
        <v>149</v>
      </c>
      <c r="X85" s="6">
        <v>115</v>
      </c>
      <c r="Y85" s="6">
        <v>89</v>
      </c>
      <c r="Z85" s="6">
        <v>136</v>
      </c>
      <c r="AA85" s="6">
        <v>9</v>
      </c>
      <c r="AB85" s="6">
        <v>136</v>
      </c>
      <c r="AC85" s="6">
        <v>112</v>
      </c>
      <c r="AD85" s="6">
        <v>43</v>
      </c>
      <c r="AE85" s="6">
        <v>86</v>
      </c>
    </row>
    <row r="86" spans="1:31" ht="30.75" thickBot="1" x14ac:dyDescent="0.3">
      <c r="A86" s="3">
        <v>2024</v>
      </c>
      <c r="B86" s="3">
        <v>10</v>
      </c>
      <c r="C86" s="3" t="s">
        <v>90</v>
      </c>
      <c r="D86" s="4" t="s">
        <v>32</v>
      </c>
      <c r="E86" s="3">
        <v>101</v>
      </c>
      <c r="F86" s="5">
        <v>0.52</v>
      </c>
      <c r="G86" s="6" t="s">
        <v>128</v>
      </c>
      <c r="H86" s="6" t="s">
        <v>96</v>
      </c>
      <c r="I86" s="6">
        <v>38</v>
      </c>
      <c r="J86" s="6">
        <v>100</v>
      </c>
      <c r="K86" s="6">
        <v>80</v>
      </c>
      <c r="L86" s="6">
        <v>68</v>
      </c>
      <c r="M86" s="6">
        <v>111</v>
      </c>
      <c r="N86" s="6">
        <v>85</v>
      </c>
      <c r="O86" s="6">
        <v>62</v>
      </c>
      <c r="P86" s="6">
        <v>52</v>
      </c>
      <c r="Q86" s="6">
        <v>65</v>
      </c>
      <c r="R86" s="6">
        <v>29</v>
      </c>
      <c r="S86" s="6">
        <v>117</v>
      </c>
      <c r="T86" s="6">
        <v>105</v>
      </c>
      <c r="U86" s="6">
        <v>106</v>
      </c>
      <c r="V86" s="6">
        <v>257</v>
      </c>
      <c r="W86" s="6">
        <v>98</v>
      </c>
      <c r="X86" s="6">
        <v>83</v>
      </c>
      <c r="Y86" s="6">
        <v>28</v>
      </c>
      <c r="Z86" s="6">
        <v>194</v>
      </c>
      <c r="AA86" s="6">
        <v>143</v>
      </c>
      <c r="AB86" s="6">
        <v>157</v>
      </c>
      <c r="AC86" s="6">
        <v>52</v>
      </c>
      <c r="AD86" s="6">
        <v>326</v>
      </c>
      <c r="AE86" s="6">
        <v>329</v>
      </c>
    </row>
    <row r="87" spans="1:31" ht="30.75" thickBot="1" x14ac:dyDescent="0.3">
      <c r="A87" s="3">
        <v>2024</v>
      </c>
      <c r="B87" s="3">
        <v>10</v>
      </c>
      <c r="C87" s="3" t="s">
        <v>90</v>
      </c>
      <c r="D87" s="4" t="s">
        <v>35</v>
      </c>
      <c r="E87" s="3">
        <v>124</v>
      </c>
      <c r="F87" s="5">
        <v>0.22</v>
      </c>
      <c r="G87" s="6">
        <v>35</v>
      </c>
      <c r="H87" s="6" t="s">
        <v>129</v>
      </c>
      <c r="I87" s="6">
        <v>30</v>
      </c>
      <c r="J87" s="6">
        <v>106</v>
      </c>
      <c r="K87" s="6">
        <v>87</v>
      </c>
      <c r="L87" s="6">
        <v>125</v>
      </c>
      <c r="M87" s="6">
        <v>37</v>
      </c>
      <c r="N87" s="6">
        <v>54</v>
      </c>
      <c r="O87" s="6">
        <v>48</v>
      </c>
      <c r="P87" s="6">
        <v>38</v>
      </c>
      <c r="Q87" s="6">
        <v>70</v>
      </c>
      <c r="R87" s="6">
        <v>104</v>
      </c>
      <c r="S87" s="6">
        <v>96</v>
      </c>
      <c r="T87" s="6">
        <v>32</v>
      </c>
      <c r="U87" s="6">
        <v>112</v>
      </c>
      <c r="V87" s="6">
        <v>36</v>
      </c>
      <c r="W87" s="6">
        <v>343</v>
      </c>
      <c r="X87" s="6">
        <v>303</v>
      </c>
      <c r="Y87" s="6">
        <v>312</v>
      </c>
      <c r="Z87" s="6">
        <v>637</v>
      </c>
      <c r="AA87" s="6">
        <v>363</v>
      </c>
      <c r="AB87" s="6">
        <v>156</v>
      </c>
      <c r="AC87" s="6">
        <v>16</v>
      </c>
      <c r="AD87" s="6">
        <v>21</v>
      </c>
      <c r="AE87" s="6">
        <v>40</v>
      </c>
    </row>
    <row r="88" spans="1:31" ht="30.75" thickBot="1" x14ac:dyDescent="0.3">
      <c r="A88" s="3">
        <v>2024</v>
      </c>
      <c r="B88" s="3">
        <v>10</v>
      </c>
      <c r="C88" s="3" t="s">
        <v>90</v>
      </c>
      <c r="D88" s="4" t="s">
        <v>38</v>
      </c>
      <c r="E88" s="3">
        <v>88</v>
      </c>
      <c r="F88" s="5">
        <v>0.22</v>
      </c>
      <c r="G88" s="6" t="s">
        <v>115</v>
      </c>
      <c r="H88" s="6" t="s">
        <v>130</v>
      </c>
      <c r="I88" s="6">
        <v>84</v>
      </c>
      <c r="J88" s="6">
        <v>72</v>
      </c>
      <c r="K88" s="6">
        <v>73</v>
      </c>
      <c r="L88" s="6">
        <v>34</v>
      </c>
      <c r="M88" s="6">
        <v>48</v>
      </c>
      <c r="N88" s="6">
        <v>72</v>
      </c>
      <c r="O88" s="6">
        <v>92</v>
      </c>
      <c r="P88" s="6">
        <v>87</v>
      </c>
      <c r="Q88" s="6">
        <v>96</v>
      </c>
      <c r="R88" s="6">
        <v>57</v>
      </c>
      <c r="S88" s="6">
        <v>67</v>
      </c>
      <c r="T88" s="6">
        <v>138</v>
      </c>
      <c r="U88" s="6">
        <v>126</v>
      </c>
      <c r="V88" s="6">
        <v>78</v>
      </c>
      <c r="W88" s="6">
        <v>192</v>
      </c>
      <c r="X88" s="6">
        <v>64</v>
      </c>
      <c r="Y88" s="6">
        <v>71</v>
      </c>
      <c r="Z88" s="6">
        <v>425</v>
      </c>
      <c r="AA88" s="6">
        <v>228</v>
      </c>
      <c r="AB88" s="6">
        <v>127</v>
      </c>
      <c r="AC88" s="6">
        <v>78</v>
      </c>
      <c r="AD88" s="6">
        <v>78</v>
      </c>
      <c r="AE88" s="6">
        <v>162</v>
      </c>
    </row>
    <row r="89" spans="1:31" ht="30.75" thickBot="1" x14ac:dyDescent="0.3">
      <c r="A89" s="3">
        <v>2024</v>
      </c>
      <c r="B89" s="3">
        <v>10</v>
      </c>
      <c r="C89" s="3" t="s">
        <v>90</v>
      </c>
      <c r="D89" s="4" t="s">
        <v>40</v>
      </c>
      <c r="E89" s="3">
        <v>86</v>
      </c>
      <c r="F89" s="5">
        <v>0.23</v>
      </c>
      <c r="G89" s="6" t="s">
        <v>131</v>
      </c>
      <c r="H89" s="6" t="s">
        <v>92</v>
      </c>
      <c r="I89" s="6">
        <v>71</v>
      </c>
      <c r="J89" s="6">
        <v>123</v>
      </c>
      <c r="K89" s="6">
        <v>99</v>
      </c>
      <c r="L89" s="6">
        <v>60</v>
      </c>
      <c r="M89" s="6">
        <v>79</v>
      </c>
      <c r="N89" s="6">
        <v>91</v>
      </c>
      <c r="O89" s="6">
        <v>46</v>
      </c>
      <c r="P89" s="6">
        <v>93</v>
      </c>
      <c r="Q89" s="6">
        <v>113</v>
      </c>
      <c r="R89" s="6">
        <v>74</v>
      </c>
      <c r="S89" s="6">
        <v>41</v>
      </c>
      <c r="T89" s="6">
        <v>107</v>
      </c>
      <c r="U89" s="6">
        <v>96</v>
      </c>
      <c r="V89" s="6">
        <v>34</v>
      </c>
      <c r="W89" s="6">
        <v>135</v>
      </c>
      <c r="X89" s="6">
        <v>306</v>
      </c>
      <c r="Y89" s="6">
        <v>170</v>
      </c>
      <c r="Z89" s="6">
        <v>68</v>
      </c>
      <c r="AA89" s="6">
        <v>110</v>
      </c>
      <c r="AB89" s="6">
        <v>46</v>
      </c>
      <c r="AC89" s="6">
        <v>7</v>
      </c>
      <c r="AD89" s="6">
        <v>60</v>
      </c>
      <c r="AE89" s="6">
        <v>249</v>
      </c>
    </row>
    <row r="90" spans="1:31" ht="30.75" thickBot="1" x14ac:dyDescent="0.3">
      <c r="A90" s="3">
        <v>2024</v>
      </c>
      <c r="B90" s="3">
        <v>11</v>
      </c>
      <c r="C90" s="3" t="s">
        <v>93</v>
      </c>
      <c r="D90" s="4" t="s">
        <v>32</v>
      </c>
      <c r="E90" s="3">
        <v>59</v>
      </c>
      <c r="F90" s="5">
        <v>0.64</v>
      </c>
      <c r="G90" s="6">
        <v>55</v>
      </c>
      <c r="H90" s="6" t="s">
        <v>88</v>
      </c>
      <c r="I90" s="6">
        <v>125</v>
      </c>
      <c r="J90" s="6">
        <v>106</v>
      </c>
      <c r="K90" s="6">
        <v>74</v>
      </c>
      <c r="L90" s="6">
        <v>60</v>
      </c>
      <c r="M90" s="6">
        <v>115</v>
      </c>
      <c r="N90" s="6">
        <v>103</v>
      </c>
      <c r="O90" s="6">
        <v>88</v>
      </c>
      <c r="P90" s="6">
        <v>41</v>
      </c>
      <c r="Q90" s="6">
        <v>100</v>
      </c>
      <c r="R90" s="6">
        <v>103</v>
      </c>
      <c r="S90" s="6">
        <v>138</v>
      </c>
      <c r="T90" s="6">
        <v>43</v>
      </c>
      <c r="U90" s="6">
        <v>99</v>
      </c>
      <c r="V90" s="6">
        <v>100</v>
      </c>
      <c r="W90" s="6">
        <v>283</v>
      </c>
      <c r="X90" s="6">
        <v>76</v>
      </c>
      <c r="Y90" s="6">
        <v>71</v>
      </c>
      <c r="Z90" s="6">
        <v>23</v>
      </c>
      <c r="AA90" s="6">
        <v>311</v>
      </c>
      <c r="AB90" s="6">
        <v>52</v>
      </c>
      <c r="AC90" s="6">
        <v>32</v>
      </c>
      <c r="AD90" s="6">
        <v>25</v>
      </c>
      <c r="AE90" s="6">
        <v>55</v>
      </c>
    </row>
    <row r="91" spans="1:31" ht="30.75" thickBot="1" x14ac:dyDescent="0.3">
      <c r="A91" s="3">
        <v>2024</v>
      </c>
      <c r="B91" s="3">
        <v>11</v>
      </c>
      <c r="C91" s="3" t="s">
        <v>93</v>
      </c>
      <c r="D91" s="4" t="s">
        <v>35</v>
      </c>
      <c r="E91" s="3">
        <v>40</v>
      </c>
      <c r="F91" s="5">
        <v>0.68</v>
      </c>
      <c r="G91" s="6">
        <v>120</v>
      </c>
      <c r="H91" s="6" t="s">
        <v>60</v>
      </c>
      <c r="I91" s="6">
        <v>52</v>
      </c>
      <c r="J91" s="6">
        <v>64</v>
      </c>
      <c r="K91" s="6">
        <v>67</v>
      </c>
      <c r="L91" s="6">
        <v>77</v>
      </c>
      <c r="M91" s="6">
        <v>69</v>
      </c>
      <c r="N91" s="6">
        <v>127</v>
      </c>
      <c r="O91" s="6">
        <v>68</v>
      </c>
      <c r="P91" s="6">
        <v>91</v>
      </c>
      <c r="Q91" s="6">
        <v>69</v>
      </c>
      <c r="R91" s="6">
        <v>113</v>
      </c>
      <c r="S91" s="6">
        <v>102</v>
      </c>
      <c r="T91" s="6">
        <v>63</v>
      </c>
      <c r="U91" s="6">
        <v>65</v>
      </c>
      <c r="V91" s="6">
        <v>64</v>
      </c>
      <c r="W91" s="6">
        <v>116</v>
      </c>
      <c r="X91" s="6">
        <v>90</v>
      </c>
      <c r="Y91" s="6">
        <v>23</v>
      </c>
      <c r="Z91" s="6">
        <v>28</v>
      </c>
      <c r="AA91" s="6">
        <v>196</v>
      </c>
      <c r="AB91" s="6">
        <v>175</v>
      </c>
      <c r="AC91" s="6">
        <v>18</v>
      </c>
      <c r="AD91" s="6">
        <v>158</v>
      </c>
      <c r="AE91" s="6">
        <v>255</v>
      </c>
    </row>
    <row r="92" spans="1:31" ht="30.75" thickBot="1" x14ac:dyDescent="0.3">
      <c r="A92" s="3">
        <v>2024</v>
      </c>
      <c r="B92" s="3">
        <v>11</v>
      </c>
      <c r="C92" s="3" t="s">
        <v>93</v>
      </c>
      <c r="D92" s="4" t="s">
        <v>38</v>
      </c>
      <c r="E92" s="3">
        <v>61</v>
      </c>
      <c r="F92" s="5">
        <v>0.53</v>
      </c>
      <c r="G92" s="6" t="s">
        <v>132</v>
      </c>
      <c r="H92" s="6" t="s">
        <v>124</v>
      </c>
      <c r="I92" s="6">
        <v>75</v>
      </c>
      <c r="J92" s="6">
        <v>73</v>
      </c>
      <c r="K92" s="6">
        <v>52</v>
      </c>
      <c r="L92" s="6">
        <v>100</v>
      </c>
      <c r="M92" s="6">
        <v>92</v>
      </c>
      <c r="N92" s="6">
        <v>36</v>
      </c>
      <c r="O92" s="6">
        <v>81</v>
      </c>
      <c r="P92" s="6">
        <v>95</v>
      </c>
      <c r="Q92" s="6">
        <v>67</v>
      </c>
      <c r="R92" s="6">
        <v>77</v>
      </c>
      <c r="S92" s="6">
        <v>66</v>
      </c>
      <c r="T92" s="6">
        <v>105</v>
      </c>
      <c r="U92" s="6">
        <v>118</v>
      </c>
      <c r="V92" s="6">
        <v>140</v>
      </c>
      <c r="W92" s="6">
        <v>151</v>
      </c>
      <c r="X92" s="6">
        <v>96</v>
      </c>
      <c r="Y92" s="6">
        <v>377</v>
      </c>
      <c r="Z92" s="6">
        <v>200</v>
      </c>
      <c r="AA92" s="6">
        <v>76</v>
      </c>
      <c r="AB92" s="6">
        <v>77</v>
      </c>
      <c r="AC92" s="6">
        <v>176</v>
      </c>
      <c r="AD92" s="6">
        <v>220</v>
      </c>
      <c r="AE92" s="6">
        <v>58</v>
      </c>
    </row>
    <row r="93" spans="1:31" ht="30.75" thickBot="1" x14ac:dyDescent="0.3">
      <c r="A93" s="3">
        <v>2024</v>
      </c>
      <c r="B93" s="3">
        <v>11</v>
      </c>
      <c r="C93" s="3" t="s">
        <v>93</v>
      </c>
      <c r="D93" s="4" t="s">
        <v>40</v>
      </c>
      <c r="E93" s="3">
        <v>122</v>
      </c>
      <c r="F93" s="5">
        <v>0.44</v>
      </c>
      <c r="G93" s="6">
        <v>100</v>
      </c>
      <c r="H93" s="6" t="s">
        <v>55</v>
      </c>
      <c r="I93" s="6">
        <v>134</v>
      </c>
      <c r="J93" s="6">
        <v>62</v>
      </c>
      <c r="K93" s="6">
        <v>122</v>
      </c>
      <c r="L93" s="6">
        <v>73</v>
      </c>
      <c r="M93" s="6">
        <v>86</v>
      </c>
      <c r="N93" s="6">
        <v>101</v>
      </c>
      <c r="O93" s="6">
        <v>68</v>
      </c>
      <c r="P93" s="6">
        <v>62</v>
      </c>
      <c r="Q93" s="6">
        <v>41</v>
      </c>
      <c r="R93" s="6">
        <v>88</v>
      </c>
      <c r="S93" s="6">
        <v>53</v>
      </c>
      <c r="T93" s="6">
        <v>103</v>
      </c>
      <c r="U93" s="6">
        <v>78</v>
      </c>
      <c r="V93" s="6">
        <v>49</v>
      </c>
      <c r="W93" s="6">
        <v>357</v>
      </c>
      <c r="X93" s="6">
        <v>15</v>
      </c>
      <c r="Y93" s="6">
        <v>178</v>
      </c>
      <c r="Z93" s="6">
        <v>14</v>
      </c>
      <c r="AA93" s="6">
        <v>182</v>
      </c>
      <c r="AB93" s="6">
        <v>166</v>
      </c>
      <c r="AC93" s="6">
        <v>11</v>
      </c>
      <c r="AD93" s="6">
        <v>77</v>
      </c>
      <c r="AE93" s="6">
        <v>233</v>
      </c>
    </row>
    <row r="94" spans="1:31" ht="30.75" thickBot="1" x14ac:dyDescent="0.3">
      <c r="A94" s="3">
        <v>2024</v>
      </c>
      <c r="B94" s="3">
        <v>12</v>
      </c>
      <c r="C94" s="3" t="s">
        <v>100</v>
      </c>
      <c r="D94" s="4" t="s">
        <v>32</v>
      </c>
      <c r="E94" s="3">
        <v>103</v>
      </c>
      <c r="F94" s="5">
        <v>0.54</v>
      </c>
      <c r="G94" s="6" t="s">
        <v>102</v>
      </c>
      <c r="H94" s="6" t="s">
        <v>53</v>
      </c>
      <c r="I94" s="6">
        <v>83</v>
      </c>
      <c r="J94" s="6">
        <v>112</v>
      </c>
      <c r="K94" s="6">
        <v>92</v>
      </c>
      <c r="L94" s="6">
        <v>73</v>
      </c>
      <c r="M94" s="6">
        <v>112</v>
      </c>
      <c r="N94" s="6">
        <v>75</v>
      </c>
      <c r="O94" s="6">
        <v>60</v>
      </c>
      <c r="P94" s="6">
        <v>127</v>
      </c>
      <c r="Q94" s="6">
        <v>111</v>
      </c>
      <c r="R94" s="6">
        <v>53</v>
      </c>
      <c r="S94" s="6">
        <v>55</v>
      </c>
      <c r="T94" s="6">
        <v>67</v>
      </c>
      <c r="U94" s="6">
        <v>95</v>
      </c>
      <c r="V94" s="6">
        <v>146</v>
      </c>
      <c r="W94" s="6">
        <v>85</v>
      </c>
      <c r="X94" s="6">
        <v>154</v>
      </c>
      <c r="Y94" s="6">
        <v>177</v>
      </c>
      <c r="Z94" s="6">
        <v>330</v>
      </c>
      <c r="AA94" s="6">
        <v>191</v>
      </c>
      <c r="AB94" s="6">
        <v>93</v>
      </c>
      <c r="AC94" s="6">
        <v>6</v>
      </c>
      <c r="AD94" s="6">
        <v>209</v>
      </c>
      <c r="AE94" s="6">
        <v>315</v>
      </c>
    </row>
    <row r="95" spans="1:31" ht="30.75" thickBot="1" x14ac:dyDescent="0.3">
      <c r="A95" s="3">
        <v>2024</v>
      </c>
      <c r="B95" s="3">
        <v>12</v>
      </c>
      <c r="C95" s="3" t="s">
        <v>100</v>
      </c>
      <c r="D95" s="4" t="s">
        <v>35</v>
      </c>
      <c r="E95" s="3">
        <v>31</v>
      </c>
      <c r="F95" s="5">
        <v>0.28000000000000003</v>
      </c>
      <c r="G95" s="6">
        <v>45</v>
      </c>
      <c r="H95" s="6" t="s">
        <v>113</v>
      </c>
      <c r="I95" s="6">
        <v>122</v>
      </c>
      <c r="J95" s="6">
        <v>27</v>
      </c>
      <c r="K95" s="6">
        <v>82</v>
      </c>
      <c r="L95" s="6">
        <v>46</v>
      </c>
      <c r="M95" s="6">
        <v>110</v>
      </c>
      <c r="N95" s="6">
        <v>56</v>
      </c>
      <c r="O95" s="6">
        <v>47</v>
      </c>
      <c r="P95" s="6">
        <v>56</v>
      </c>
      <c r="Q95" s="6">
        <v>43</v>
      </c>
      <c r="R95" s="6">
        <v>109</v>
      </c>
      <c r="S95" s="6">
        <v>46</v>
      </c>
      <c r="T95" s="6">
        <v>91</v>
      </c>
      <c r="U95" s="6">
        <v>70</v>
      </c>
      <c r="V95" s="6">
        <v>40</v>
      </c>
      <c r="W95" s="6">
        <v>74</v>
      </c>
      <c r="X95" s="6">
        <v>48</v>
      </c>
      <c r="Y95" s="6">
        <v>365</v>
      </c>
      <c r="Z95" s="6">
        <v>54</v>
      </c>
      <c r="AA95" s="6">
        <v>15</v>
      </c>
      <c r="AB95" s="6">
        <v>292</v>
      </c>
      <c r="AC95" s="6">
        <v>22</v>
      </c>
      <c r="AD95" s="6">
        <v>35</v>
      </c>
      <c r="AE95" s="6">
        <v>38</v>
      </c>
    </row>
    <row r="96" spans="1:31" ht="30.75" thickBot="1" x14ac:dyDescent="0.3">
      <c r="A96" s="3">
        <v>2024</v>
      </c>
      <c r="B96" s="3">
        <v>12</v>
      </c>
      <c r="C96" s="3" t="s">
        <v>100</v>
      </c>
      <c r="D96" s="4" t="s">
        <v>38</v>
      </c>
      <c r="E96" s="3">
        <v>61</v>
      </c>
      <c r="F96" s="5">
        <v>0.31</v>
      </c>
      <c r="G96" s="6" t="s">
        <v>125</v>
      </c>
      <c r="H96" s="6">
        <v>21</v>
      </c>
      <c r="I96" s="6">
        <v>55</v>
      </c>
      <c r="J96" s="6">
        <v>48</v>
      </c>
      <c r="K96" s="6">
        <v>71</v>
      </c>
      <c r="L96" s="6">
        <v>82</v>
      </c>
      <c r="M96" s="6">
        <v>63</v>
      </c>
      <c r="N96" s="6">
        <v>50</v>
      </c>
      <c r="O96" s="6">
        <v>77</v>
      </c>
      <c r="P96" s="6">
        <v>98</v>
      </c>
      <c r="Q96" s="6">
        <v>64</v>
      </c>
      <c r="R96" s="6">
        <v>66</v>
      </c>
      <c r="S96" s="6">
        <v>65</v>
      </c>
      <c r="T96" s="6">
        <v>40</v>
      </c>
      <c r="U96" s="6">
        <v>110</v>
      </c>
      <c r="V96" s="6">
        <v>35</v>
      </c>
      <c r="W96" s="6">
        <v>678</v>
      </c>
      <c r="X96" s="6">
        <v>38</v>
      </c>
      <c r="Y96" s="6">
        <v>39</v>
      </c>
      <c r="Z96" s="6">
        <v>231</v>
      </c>
      <c r="AA96" s="6">
        <v>206</v>
      </c>
      <c r="AB96" s="6">
        <v>143</v>
      </c>
      <c r="AC96" s="6">
        <v>23</v>
      </c>
      <c r="AD96" s="6">
        <v>235</v>
      </c>
      <c r="AE96" s="6">
        <v>33</v>
      </c>
    </row>
    <row r="97" spans="1:31" ht="30.75" thickBot="1" x14ac:dyDescent="0.3">
      <c r="A97" s="3">
        <v>2024</v>
      </c>
      <c r="B97" s="3">
        <v>12</v>
      </c>
      <c r="C97" s="3" t="s">
        <v>100</v>
      </c>
      <c r="D97" s="4" t="s">
        <v>40</v>
      </c>
      <c r="E97" s="3">
        <v>66</v>
      </c>
      <c r="F97" s="5">
        <v>0.43</v>
      </c>
      <c r="G97" s="6" t="s">
        <v>115</v>
      </c>
      <c r="H97" s="6" t="s">
        <v>49</v>
      </c>
      <c r="I97" s="6">
        <v>115</v>
      </c>
      <c r="J97" s="6">
        <v>55</v>
      </c>
      <c r="K97" s="6">
        <v>121</v>
      </c>
      <c r="L97" s="6">
        <v>95</v>
      </c>
      <c r="M97" s="6">
        <v>63</v>
      </c>
      <c r="N97" s="6">
        <v>79</v>
      </c>
      <c r="O97" s="6">
        <v>53</v>
      </c>
      <c r="P97" s="6">
        <v>61</v>
      </c>
      <c r="Q97" s="6">
        <v>104</v>
      </c>
      <c r="R97" s="6">
        <v>125</v>
      </c>
      <c r="S97" s="6">
        <v>95</v>
      </c>
      <c r="T97" s="6">
        <v>43</v>
      </c>
      <c r="U97" s="6">
        <v>66</v>
      </c>
      <c r="V97" s="6">
        <v>262</v>
      </c>
      <c r="W97" s="6">
        <v>81</v>
      </c>
      <c r="X97" s="6">
        <v>74</v>
      </c>
      <c r="Y97" s="6">
        <v>196</v>
      </c>
      <c r="Z97" s="6">
        <v>180</v>
      </c>
      <c r="AA97" s="6">
        <v>138</v>
      </c>
      <c r="AB97" s="6">
        <v>58</v>
      </c>
      <c r="AC97" s="6">
        <v>25</v>
      </c>
      <c r="AD97" s="6">
        <v>134</v>
      </c>
      <c r="AE97" s="6">
        <v>78</v>
      </c>
    </row>
    <row r="98" spans="1:31" ht="30.75" thickBot="1" x14ac:dyDescent="0.3">
      <c r="A98" s="3">
        <v>2023</v>
      </c>
      <c r="B98" s="3">
        <v>1</v>
      </c>
      <c r="C98" s="3" t="s">
        <v>31</v>
      </c>
      <c r="D98" s="4" t="s">
        <v>32</v>
      </c>
      <c r="E98" s="3">
        <v>82</v>
      </c>
      <c r="F98" s="5">
        <v>0.5</v>
      </c>
      <c r="G98" s="6">
        <v>103</v>
      </c>
      <c r="H98" s="6">
        <v>41</v>
      </c>
      <c r="I98" s="6">
        <v>88</v>
      </c>
      <c r="J98" s="6">
        <v>71</v>
      </c>
      <c r="K98" s="6">
        <v>52</v>
      </c>
      <c r="L98" s="6">
        <v>73</v>
      </c>
      <c r="M98" s="6">
        <v>79</v>
      </c>
      <c r="N98" s="6">
        <v>46</v>
      </c>
      <c r="O98" s="6">
        <v>42</v>
      </c>
      <c r="P98" s="6">
        <v>37</v>
      </c>
      <c r="Q98" s="6">
        <v>49</v>
      </c>
      <c r="R98" s="6">
        <v>104</v>
      </c>
      <c r="S98" s="6">
        <v>108</v>
      </c>
      <c r="T98" s="6">
        <v>51</v>
      </c>
      <c r="U98" s="6">
        <v>41</v>
      </c>
      <c r="V98" s="6">
        <v>118</v>
      </c>
      <c r="W98" s="6">
        <v>42</v>
      </c>
      <c r="X98" s="6">
        <v>940</v>
      </c>
      <c r="Y98" s="6">
        <v>291</v>
      </c>
      <c r="Z98" s="6">
        <v>320</v>
      </c>
      <c r="AA98" s="6">
        <v>71</v>
      </c>
      <c r="AB98" s="6">
        <v>80</v>
      </c>
      <c r="AC98" s="6">
        <v>17</v>
      </c>
      <c r="AD98" s="6">
        <v>42</v>
      </c>
      <c r="AE98" s="6">
        <v>130</v>
      </c>
    </row>
    <row r="99" spans="1:31" ht="30.75" thickBot="1" x14ac:dyDescent="0.3">
      <c r="A99" s="3">
        <v>2023</v>
      </c>
      <c r="B99" s="3">
        <v>1</v>
      </c>
      <c r="C99" s="3" t="s">
        <v>31</v>
      </c>
      <c r="D99" s="4" t="s">
        <v>35</v>
      </c>
      <c r="E99" s="3">
        <v>56</v>
      </c>
      <c r="F99" s="5">
        <v>0.77</v>
      </c>
      <c r="G99" s="6">
        <v>70</v>
      </c>
      <c r="H99" s="6">
        <v>55</v>
      </c>
      <c r="I99" s="6">
        <v>74</v>
      </c>
      <c r="J99" s="6">
        <v>65</v>
      </c>
      <c r="K99" s="6">
        <v>117</v>
      </c>
      <c r="L99" s="6">
        <v>48</v>
      </c>
      <c r="M99" s="6">
        <v>50</v>
      </c>
      <c r="N99" s="6">
        <v>54</v>
      </c>
      <c r="O99" s="6">
        <v>87</v>
      </c>
      <c r="P99" s="6">
        <v>61</v>
      </c>
      <c r="Q99" s="6">
        <v>119</v>
      </c>
      <c r="R99" s="6">
        <v>54</v>
      </c>
      <c r="S99" s="6">
        <v>142</v>
      </c>
      <c r="T99" s="6">
        <v>128</v>
      </c>
      <c r="U99" s="6">
        <v>34</v>
      </c>
      <c r="V99" s="6">
        <v>126</v>
      </c>
      <c r="W99" s="6">
        <v>75</v>
      </c>
      <c r="X99" s="6">
        <v>170</v>
      </c>
      <c r="Y99" s="6">
        <v>149</v>
      </c>
      <c r="Z99" s="6">
        <v>149</v>
      </c>
      <c r="AA99" s="6">
        <v>353</v>
      </c>
      <c r="AB99" s="6">
        <v>114</v>
      </c>
      <c r="AC99" s="6">
        <v>168</v>
      </c>
      <c r="AD99" s="6">
        <v>136</v>
      </c>
      <c r="AE99" s="6">
        <v>49</v>
      </c>
    </row>
    <row r="100" spans="1:31" ht="30.75" thickBot="1" x14ac:dyDescent="0.3">
      <c r="A100" s="3">
        <v>2023</v>
      </c>
      <c r="B100" s="3">
        <v>1</v>
      </c>
      <c r="C100" s="3" t="s">
        <v>31</v>
      </c>
      <c r="D100" s="4" t="s">
        <v>38</v>
      </c>
      <c r="E100" s="3">
        <v>76</v>
      </c>
      <c r="F100" s="5">
        <v>0.48</v>
      </c>
      <c r="G100" s="6">
        <v>95</v>
      </c>
      <c r="H100" s="6">
        <v>31</v>
      </c>
      <c r="I100" s="6">
        <v>44</v>
      </c>
      <c r="J100" s="6">
        <v>74</v>
      </c>
      <c r="K100" s="6">
        <v>84</v>
      </c>
      <c r="L100" s="6">
        <v>90</v>
      </c>
      <c r="M100" s="6">
        <v>79</v>
      </c>
      <c r="N100" s="6">
        <v>64</v>
      </c>
      <c r="O100" s="6">
        <v>35</v>
      </c>
      <c r="P100" s="6">
        <v>126</v>
      </c>
      <c r="Q100" s="6">
        <v>108</v>
      </c>
      <c r="R100" s="6">
        <v>61</v>
      </c>
      <c r="S100" s="6">
        <v>73</v>
      </c>
      <c r="T100" s="6">
        <v>72</v>
      </c>
      <c r="U100" s="6">
        <v>76</v>
      </c>
      <c r="V100" s="6">
        <v>66</v>
      </c>
      <c r="W100" s="6">
        <v>165</v>
      </c>
      <c r="X100" s="6">
        <v>93</v>
      </c>
      <c r="Y100" s="6">
        <v>170</v>
      </c>
      <c r="Z100" s="6">
        <v>126</v>
      </c>
      <c r="AA100" s="6">
        <v>166</v>
      </c>
      <c r="AB100" s="6">
        <v>5</v>
      </c>
      <c r="AC100" s="6">
        <v>26</v>
      </c>
      <c r="AD100" s="6">
        <v>35</v>
      </c>
      <c r="AE100" s="6">
        <v>5</v>
      </c>
    </row>
    <row r="101" spans="1:31" ht="30.75" thickBot="1" x14ac:dyDescent="0.3">
      <c r="A101" s="3">
        <v>2023</v>
      </c>
      <c r="B101" s="3">
        <v>1</v>
      </c>
      <c r="C101" s="3" t="s">
        <v>31</v>
      </c>
      <c r="D101" s="4" t="s">
        <v>40</v>
      </c>
      <c r="E101" s="3">
        <v>114</v>
      </c>
      <c r="F101" s="5">
        <v>0.59</v>
      </c>
      <c r="G101" s="6">
        <v>142</v>
      </c>
      <c r="H101" s="6">
        <v>42</v>
      </c>
      <c r="I101" s="6">
        <v>112</v>
      </c>
      <c r="J101" s="6">
        <v>55</v>
      </c>
      <c r="K101" s="6">
        <v>149</v>
      </c>
      <c r="L101" s="6">
        <v>51</v>
      </c>
      <c r="M101" s="6">
        <v>70</v>
      </c>
      <c r="N101" s="6">
        <v>37</v>
      </c>
      <c r="O101" s="6">
        <v>107</v>
      </c>
      <c r="P101" s="6">
        <v>110</v>
      </c>
      <c r="Q101" s="6">
        <v>66</v>
      </c>
      <c r="R101" s="6">
        <v>78</v>
      </c>
      <c r="S101" s="6">
        <v>92</v>
      </c>
      <c r="T101" s="6">
        <v>83</v>
      </c>
      <c r="U101" s="6">
        <v>39</v>
      </c>
      <c r="V101" s="6">
        <v>46</v>
      </c>
      <c r="W101" s="6">
        <v>161</v>
      </c>
      <c r="X101" s="6">
        <v>223</v>
      </c>
      <c r="Y101" s="6">
        <v>277</v>
      </c>
      <c r="Z101" s="6">
        <v>50</v>
      </c>
      <c r="AA101" s="6">
        <v>114</v>
      </c>
      <c r="AB101" s="6">
        <v>150</v>
      </c>
      <c r="AC101" s="6">
        <v>179</v>
      </c>
      <c r="AD101" s="6">
        <v>66</v>
      </c>
      <c r="AE101" s="6">
        <v>183</v>
      </c>
    </row>
    <row r="102" spans="1:31" ht="30.75" thickBot="1" x14ac:dyDescent="0.3">
      <c r="A102" s="3">
        <v>2023</v>
      </c>
      <c r="B102" s="3">
        <v>2</v>
      </c>
      <c r="C102" s="3" t="s">
        <v>42</v>
      </c>
      <c r="D102" s="4" t="s">
        <v>32</v>
      </c>
      <c r="E102" s="3">
        <v>92</v>
      </c>
      <c r="F102" s="5">
        <v>0.62</v>
      </c>
      <c r="G102" s="6">
        <v>115</v>
      </c>
      <c r="H102" s="6">
        <v>25</v>
      </c>
      <c r="I102" s="6">
        <v>81</v>
      </c>
      <c r="J102" s="6">
        <v>100</v>
      </c>
      <c r="K102" s="6">
        <v>46</v>
      </c>
      <c r="L102" s="6">
        <v>116</v>
      </c>
      <c r="M102" s="6">
        <v>106</v>
      </c>
      <c r="N102" s="6">
        <v>70</v>
      </c>
      <c r="O102" s="6">
        <v>106</v>
      </c>
      <c r="P102" s="6">
        <v>101</v>
      </c>
      <c r="Q102" s="6">
        <v>50</v>
      </c>
      <c r="R102" s="6">
        <v>30</v>
      </c>
      <c r="S102" s="6">
        <v>62</v>
      </c>
      <c r="T102" s="6">
        <v>87</v>
      </c>
      <c r="U102" s="6">
        <v>28</v>
      </c>
      <c r="V102" s="6">
        <v>150</v>
      </c>
      <c r="W102" s="6">
        <v>115</v>
      </c>
      <c r="X102" s="6">
        <v>25</v>
      </c>
      <c r="Y102" s="6">
        <v>60</v>
      </c>
      <c r="Z102" s="6">
        <v>314</v>
      </c>
      <c r="AA102" s="6">
        <v>105</v>
      </c>
      <c r="AB102" s="6">
        <v>82</v>
      </c>
      <c r="AC102" s="6">
        <v>17</v>
      </c>
      <c r="AD102" s="6">
        <v>16</v>
      </c>
      <c r="AE102" s="6">
        <v>270</v>
      </c>
    </row>
    <row r="103" spans="1:31" ht="30.75" thickBot="1" x14ac:dyDescent="0.3">
      <c r="A103" s="3">
        <v>2023</v>
      </c>
      <c r="B103" s="3">
        <v>2</v>
      </c>
      <c r="C103" s="3" t="s">
        <v>42</v>
      </c>
      <c r="D103" s="4" t="s">
        <v>35</v>
      </c>
      <c r="E103" s="3">
        <v>35</v>
      </c>
      <c r="F103" s="5">
        <v>0.77</v>
      </c>
      <c r="G103" s="6">
        <v>43</v>
      </c>
      <c r="H103" s="6">
        <v>22</v>
      </c>
      <c r="I103" s="6">
        <v>43</v>
      </c>
      <c r="J103" s="6">
        <v>62</v>
      </c>
      <c r="K103" s="6">
        <v>99</v>
      </c>
      <c r="L103" s="6">
        <v>78</v>
      </c>
      <c r="M103" s="6">
        <v>83</v>
      </c>
      <c r="N103" s="6">
        <v>82</v>
      </c>
      <c r="O103" s="6">
        <v>58</v>
      </c>
      <c r="P103" s="6">
        <v>48</v>
      </c>
      <c r="Q103" s="6">
        <v>94</v>
      </c>
      <c r="R103" s="6">
        <v>92</v>
      </c>
      <c r="S103" s="6">
        <v>100</v>
      </c>
      <c r="T103" s="6">
        <v>59</v>
      </c>
      <c r="U103" s="6">
        <v>60</v>
      </c>
      <c r="V103" s="6">
        <v>70</v>
      </c>
      <c r="W103" s="6">
        <v>198</v>
      </c>
      <c r="X103" s="6">
        <v>67</v>
      </c>
      <c r="Y103" s="6">
        <v>189</v>
      </c>
      <c r="Z103" s="6">
        <v>19</v>
      </c>
      <c r="AA103" s="6">
        <v>237</v>
      </c>
      <c r="AB103" s="6">
        <v>56</v>
      </c>
      <c r="AC103" s="6">
        <v>67</v>
      </c>
      <c r="AD103" s="6">
        <v>28</v>
      </c>
      <c r="AE103" s="6">
        <v>100</v>
      </c>
    </row>
    <row r="104" spans="1:31" ht="30.75" thickBot="1" x14ac:dyDescent="0.3">
      <c r="A104" s="3">
        <v>2023</v>
      </c>
      <c r="B104" s="3">
        <v>2</v>
      </c>
      <c r="C104" s="3" t="s">
        <v>42</v>
      </c>
      <c r="D104" s="4" t="s">
        <v>38</v>
      </c>
      <c r="E104" s="3">
        <v>83</v>
      </c>
      <c r="F104" s="5">
        <v>0.48</v>
      </c>
      <c r="G104" s="6">
        <v>104</v>
      </c>
      <c r="H104" s="6">
        <v>53</v>
      </c>
      <c r="I104" s="6">
        <v>93</v>
      </c>
      <c r="J104" s="6">
        <v>74</v>
      </c>
      <c r="K104" s="6">
        <v>98</v>
      </c>
      <c r="L104" s="6">
        <v>137</v>
      </c>
      <c r="M104" s="6">
        <v>46</v>
      </c>
      <c r="N104" s="6">
        <v>82</v>
      </c>
      <c r="O104" s="6">
        <v>58</v>
      </c>
      <c r="P104" s="6">
        <v>76</v>
      </c>
      <c r="Q104" s="6">
        <v>48</v>
      </c>
      <c r="R104" s="6">
        <v>91</v>
      </c>
      <c r="S104" s="6">
        <v>86</v>
      </c>
      <c r="T104" s="6">
        <v>126</v>
      </c>
      <c r="U104" s="6">
        <v>73</v>
      </c>
      <c r="V104" s="6">
        <v>172</v>
      </c>
      <c r="W104" s="6">
        <v>95</v>
      </c>
      <c r="X104" s="6">
        <v>189</v>
      </c>
      <c r="Y104" s="6">
        <v>352</v>
      </c>
      <c r="Z104" s="6">
        <v>62</v>
      </c>
      <c r="AA104" s="6">
        <v>310</v>
      </c>
      <c r="AB104" s="6">
        <v>300</v>
      </c>
      <c r="AC104" s="6">
        <v>136</v>
      </c>
      <c r="AD104" s="6">
        <v>163</v>
      </c>
      <c r="AE104" s="6">
        <v>49</v>
      </c>
    </row>
    <row r="105" spans="1:31" ht="30.75" thickBot="1" x14ac:dyDescent="0.3">
      <c r="A105" s="3">
        <v>2023</v>
      </c>
      <c r="B105" s="3">
        <v>2</v>
      </c>
      <c r="C105" s="3" t="s">
        <v>42</v>
      </c>
      <c r="D105" s="4" t="s">
        <v>40</v>
      </c>
      <c r="E105" s="3">
        <v>47</v>
      </c>
      <c r="F105" s="5">
        <v>0.78</v>
      </c>
      <c r="G105" s="6">
        <v>59</v>
      </c>
      <c r="H105" s="6">
        <v>16</v>
      </c>
      <c r="I105" s="6">
        <v>86</v>
      </c>
      <c r="J105" s="6">
        <v>92</v>
      </c>
      <c r="K105" s="6">
        <v>102</v>
      </c>
      <c r="L105" s="6">
        <v>107</v>
      </c>
      <c r="M105" s="6">
        <v>116</v>
      </c>
      <c r="N105" s="6">
        <v>105</v>
      </c>
      <c r="O105" s="6">
        <v>52</v>
      </c>
      <c r="P105" s="6">
        <v>43</v>
      </c>
      <c r="Q105" s="6">
        <v>77</v>
      </c>
      <c r="R105" s="6">
        <v>59</v>
      </c>
      <c r="S105" s="6">
        <v>53</v>
      </c>
      <c r="T105" s="6">
        <v>76</v>
      </c>
      <c r="U105" s="6">
        <v>85</v>
      </c>
      <c r="V105" s="6">
        <v>227</v>
      </c>
      <c r="W105" s="6">
        <v>112</v>
      </c>
      <c r="X105" s="6">
        <v>292</v>
      </c>
      <c r="Y105" s="6">
        <v>84</v>
      </c>
      <c r="Z105" s="6">
        <v>102</v>
      </c>
      <c r="AA105" s="6">
        <v>28</v>
      </c>
      <c r="AB105" s="6">
        <v>341</v>
      </c>
      <c r="AC105" s="6">
        <v>66</v>
      </c>
      <c r="AD105" s="6">
        <v>72</v>
      </c>
      <c r="AE105" s="6">
        <v>532</v>
      </c>
    </row>
    <row r="106" spans="1:31" ht="30.75" thickBot="1" x14ac:dyDescent="0.3">
      <c r="A106" s="3">
        <v>2023</v>
      </c>
      <c r="B106" s="3">
        <v>3</v>
      </c>
      <c r="C106" s="3" t="s">
        <v>50</v>
      </c>
      <c r="D106" s="4" t="s">
        <v>32</v>
      </c>
      <c r="E106" s="3">
        <v>90</v>
      </c>
      <c r="F106" s="5">
        <v>0.59</v>
      </c>
      <c r="G106" s="6">
        <v>112</v>
      </c>
      <c r="H106" s="6">
        <v>17</v>
      </c>
      <c r="I106" s="6">
        <v>50</v>
      </c>
      <c r="J106" s="6">
        <v>146</v>
      </c>
      <c r="K106" s="6">
        <v>71</v>
      </c>
      <c r="L106" s="6">
        <v>82</v>
      </c>
      <c r="M106" s="6">
        <v>142</v>
      </c>
      <c r="N106" s="6">
        <v>78</v>
      </c>
      <c r="O106" s="6">
        <v>96</v>
      </c>
      <c r="P106" s="6">
        <v>80</v>
      </c>
      <c r="Q106" s="6">
        <v>91</v>
      </c>
      <c r="R106" s="6">
        <v>78</v>
      </c>
      <c r="S106" s="6">
        <v>40</v>
      </c>
      <c r="T106" s="6">
        <v>53</v>
      </c>
      <c r="U106" s="6">
        <v>69</v>
      </c>
      <c r="V106" s="6">
        <v>642</v>
      </c>
      <c r="W106" s="6">
        <v>217</v>
      </c>
      <c r="X106" s="6">
        <v>29</v>
      </c>
      <c r="Y106" s="6">
        <v>120</v>
      </c>
      <c r="Z106" s="6">
        <v>181</v>
      </c>
      <c r="AA106" s="6">
        <v>22</v>
      </c>
      <c r="AB106" s="6">
        <v>165</v>
      </c>
      <c r="AC106" s="6">
        <v>49</v>
      </c>
      <c r="AD106" s="6">
        <v>71</v>
      </c>
      <c r="AE106" s="6">
        <v>57</v>
      </c>
    </row>
    <row r="107" spans="1:31" ht="30.75" thickBot="1" x14ac:dyDescent="0.3">
      <c r="A107" s="3">
        <v>2023</v>
      </c>
      <c r="B107" s="3">
        <v>3</v>
      </c>
      <c r="C107" s="3" t="s">
        <v>50</v>
      </c>
      <c r="D107" s="4" t="s">
        <v>35</v>
      </c>
      <c r="E107" s="3">
        <v>64</v>
      </c>
      <c r="F107" s="5">
        <v>0.71</v>
      </c>
      <c r="G107" s="6">
        <v>81</v>
      </c>
      <c r="H107" s="6">
        <v>13</v>
      </c>
      <c r="I107" s="6">
        <v>93</v>
      </c>
      <c r="J107" s="6">
        <v>89</v>
      </c>
      <c r="K107" s="6">
        <v>94</v>
      </c>
      <c r="L107" s="6">
        <v>66</v>
      </c>
      <c r="M107" s="6">
        <v>61</v>
      </c>
      <c r="N107" s="6">
        <v>40</v>
      </c>
      <c r="O107" s="6">
        <v>120</v>
      </c>
      <c r="P107" s="6">
        <v>50</v>
      </c>
      <c r="Q107" s="6">
        <v>113</v>
      </c>
      <c r="R107" s="6">
        <v>114</v>
      </c>
      <c r="S107" s="6">
        <v>113</v>
      </c>
      <c r="T107" s="6">
        <v>116</v>
      </c>
      <c r="U107" s="6">
        <v>18</v>
      </c>
      <c r="V107" s="6">
        <v>50</v>
      </c>
      <c r="W107" s="6">
        <v>49</v>
      </c>
      <c r="X107" s="6">
        <v>166</v>
      </c>
      <c r="Y107" s="6">
        <v>138</v>
      </c>
      <c r="Z107" s="6">
        <v>127</v>
      </c>
      <c r="AA107" s="6">
        <v>55</v>
      </c>
      <c r="AB107" s="6">
        <v>32</v>
      </c>
      <c r="AC107" s="6">
        <v>120</v>
      </c>
      <c r="AD107" s="6">
        <v>29</v>
      </c>
      <c r="AE107" s="6">
        <v>163</v>
      </c>
    </row>
    <row r="108" spans="1:31" ht="30.75" thickBot="1" x14ac:dyDescent="0.3">
      <c r="A108" s="3">
        <v>2023</v>
      </c>
      <c r="B108" s="3">
        <v>3</v>
      </c>
      <c r="C108" s="3" t="s">
        <v>50</v>
      </c>
      <c r="D108" s="4" t="s">
        <v>38</v>
      </c>
      <c r="E108" s="3">
        <v>30</v>
      </c>
      <c r="F108" s="5">
        <v>0.55000000000000004</v>
      </c>
      <c r="G108" s="6">
        <v>38</v>
      </c>
      <c r="H108" s="6">
        <v>14</v>
      </c>
      <c r="I108" s="6">
        <v>44</v>
      </c>
      <c r="J108" s="6">
        <v>84</v>
      </c>
      <c r="K108" s="6">
        <v>68</v>
      </c>
      <c r="L108" s="6">
        <v>33</v>
      </c>
      <c r="M108" s="6">
        <v>72</v>
      </c>
      <c r="N108" s="6">
        <v>112</v>
      </c>
      <c r="O108" s="6">
        <v>47</v>
      </c>
      <c r="P108" s="6">
        <v>85</v>
      </c>
      <c r="Q108" s="6">
        <v>98</v>
      </c>
      <c r="R108" s="6">
        <v>143</v>
      </c>
      <c r="S108" s="6">
        <v>100</v>
      </c>
      <c r="T108" s="6">
        <v>100</v>
      </c>
      <c r="U108" s="6">
        <v>72</v>
      </c>
      <c r="V108" s="6">
        <v>385</v>
      </c>
      <c r="W108" s="6">
        <v>108</v>
      </c>
      <c r="X108" s="6">
        <v>389</v>
      </c>
      <c r="Y108" s="6">
        <v>20</v>
      </c>
      <c r="Z108" s="6">
        <v>83</v>
      </c>
      <c r="AA108" s="6">
        <v>73</v>
      </c>
      <c r="AB108" s="6">
        <v>55</v>
      </c>
      <c r="AC108" s="6">
        <v>80</v>
      </c>
      <c r="AD108" s="6">
        <v>282</v>
      </c>
      <c r="AE108" s="6">
        <v>354</v>
      </c>
    </row>
    <row r="109" spans="1:31" ht="30.75" thickBot="1" x14ac:dyDescent="0.3">
      <c r="A109" s="3">
        <v>2023</v>
      </c>
      <c r="B109" s="3">
        <v>3</v>
      </c>
      <c r="C109" s="3" t="s">
        <v>50</v>
      </c>
      <c r="D109" s="4" t="s">
        <v>40</v>
      </c>
      <c r="E109" s="3">
        <v>36</v>
      </c>
      <c r="F109" s="5">
        <v>0.68</v>
      </c>
      <c r="G109" s="6">
        <v>46</v>
      </c>
      <c r="H109" s="6">
        <v>38</v>
      </c>
      <c r="I109" s="6">
        <v>51</v>
      </c>
      <c r="J109" s="6">
        <v>51</v>
      </c>
      <c r="K109" s="6">
        <v>59</v>
      </c>
      <c r="L109" s="6">
        <v>55</v>
      </c>
      <c r="M109" s="6">
        <v>63</v>
      </c>
      <c r="N109" s="6">
        <v>136</v>
      </c>
      <c r="O109" s="6">
        <v>36</v>
      </c>
      <c r="P109" s="6">
        <v>134</v>
      </c>
      <c r="Q109" s="6">
        <v>101</v>
      </c>
      <c r="R109" s="6">
        <v>97</v>
      </c>
      <c r="S109" s="6">
        <v>33</v>
      </c>
      <c r="T109" s="6">
        <v>81</v>
      </c>
      <c r="U109" s="6">
        <v>99</v>
      </c>
      <c r="V109" s="6">
        <v>126</v>
      </c>
      <c r="W109" s="6">
        <v>133</v>
      </c>
      <c r="X109" s="6">
        <v>163</v>
      </c>
      <c r="Y109" s="6">
        <v>179</v>
      </c>
      <c r="Z109" s="6">
        <v>100</v>
      </c>
      <c r="AA109" s="6">
        <v>303</v>
      </c>
      <c r="AB109" s="6">
        <v>44</v>
      </c>
      <c r="AC109" s="6">
        <v>156</v>
      </c>
      <c r="AD109" s="6">
        <v>155</v>
      </c>
      <c r="AE109" s="6">
        <v>47</v>
      </c>
    </row>
    <row r="110" spans="1:31" ht="30.75" thickBot="1" x14ac:dyDescent="0.3">
      <c r="A110" s="3">
        <v>2023</v>
      </c>
      <c r="B110" s="3">
        <v>4</v>
      </c>
      <c r="C110" s="3" t="s">
        <v>58</v>
      </c>
      <c r="D110" s="4" t="s">
        <v>32</v>
      </c>
      <c r="E110" s="3">
        <v>58</v>
      </c>
      <c r="F110" s="5">
        <v>0.8</v>
      </c>
      <c r="G110" s="6">
        <v>73</v>
      </c>
      <c r="H110" s="6">
        <v>28</v>
      </c>
      <c r="I110" s="6">
        <v>108</v>
      </c>
      <c r="J110" s="6">
        <v>67</v>
      </c>
      <c r="K110" s="6">
        <v>108</v>
      </c>
      <c r="L110" s="6">
        <v>75</v>
      </c>
      <c r="M110" s="6">
        <v>64</v>
      </c>
      <c r="N110" s="6">
        <v>50</v>
      </c>
      <c r="O110" s="6">
        <v>79</v>
      </c>
      <c r="P110" s="6">
        <v>29</v>
      </c>
      <c r="Q110" s="6">
        <v>123</v>
      </c>
      <c r="R110" s="6">
        <v>96</v>
      </c>
      <c r="S110" s="6">
        <v>77</v>
      </c>
      <c r="T110" s="6">
        <v>40</v>
      </c>
      <c r="U110" s="6">
        <v>58</v>
      </c>
      <c r="V110" s="6">
        <v>13</v>
      </c>
      <c r="W110" s="6">
        <v>120</v>
      </c>
      <c r="X110" s="6">
        <v>74</v>
      </c>
      <c r="Y110" s="6">
        <v>220</v>
      </c>
      <c r="Z110" s="6">
        <v>259</v>
      </c>
      <c r="AA110" s="6">
        <v>320</v>
      </c>
      <c r="AB110" s="6">
        <v>65</v>
      </c>
      <c r="AC110" s="6">
        <v>335</v>
      </c>
      <c r="AD110" s="6">
        <v>81</v>
      </c>
      <c r="AE110" s="6">
        <v>10</v>
      </c>
    </row>
    <row r="111" spans="1:31" ht="30.75" thickBot="1" x14ac:dyDescent="0.3">
      <c r="A111" s="3">
        <v>2023</v>
      </c>
      <c r="B111" s="3">
        <v>4</v>
      </c>
      <c r="C111" s="3" t="s">
        <v>58</v>
      </c>
      <c r="D111" s="4" t="s">
        <v>35</v>
      </c>
      <c r="E111" s="3">
        <v>31</v>
      </c>
      <c r="F111" s="5">
        <v>0.46</v>
      </c>
      <c r="G111" s="6">
        <v>39</v>
      </c>
      <c r="H111" s="6">
        <v>47</v>
      </c>
      <c r="I111" s="6">
        <v>83</v>
      </c>
      <c r="J111" s="6">
        <v>28</v>
      </c>
      <c r="K111" s="6">
        <v>69</v>
      </c>
      <c r="L111" s="6">
        <v>94</v>
      </c>
      <c r="M111" s="6">
        <v>54</v>
      </c>
      <c r="N111" s="6">
        <v>47</v>
      </c>
      <c r="O111" s="6">
        <v>52</v>
      </c>
      <c r="P111" s="6">
        <v>43</v>
      </c>
      <c r="Q111" s="6">
        <v>92</v>
      </c>
      <c r="R111" s="6">
        <v>74</v>
      </c>
      <c r="S111" s="6">
        <v>48</v>
      </c>
      <c r="T111" s="6">
        <v>143</v>
      </c>
      <c r="U111" s="6">
        <v>81</v>
      </c>
      <c r="V111" s="6">
        <v>50</v>
      </c>
      <c r="W111" s="6">
        <v>104</v>
      </c>
      <c r="X111" s="6">
        <v>111</v>
      </c>
      <c r="Y111" s="6">
        <v>612</v>
      </c>
      <c r="Z111" s="6">
        <v>147</v>
      </c>
      <c r="AA111" s="6">
        <v>330</v>
      </c>
      <c r="AB111" s="6">
        <v>84</v>
      </c>
      <c r="AC111" s="6">
        <v>373</v>
      </c>
      <c r="AD111" s="6">
        <v>192</v>
      </c>
      <c r="AE111" s="6">
        <v>147</v>
      </c>
    </row>
    <row r="112" spans="1:31" ht="30.75" thickBot="1" x14ac:dyDescent="0.3">
      <c r="A112" s="3">
        <v>2023</v>
      </c>
      <c r="B112" s="3">
        <v>4</v>
      </c>
      <c r="C112" s="3" t="s">
        <v>58</v>
      </c>
      <c r="D112" s="4" t="s">
        <v>38</v>
      </c>
      <c r="E112" s="3">
        <v>54</v>
      </c>
      <c r="F112" s="5">
        <v>0.8</v>
      </c>
      <c r="G112" s="6">
        <v>68</v>
      </c>
      <c r="H112" s="6">
        <v>51</v>
      </c>
      <c r="I112" s="6">
        <v>40</v>
      </c>
      <c r="J112" s="6">
        <v>71</v>
      </c>
      <c r="K112" s="6">
        <v>63</v>
      </c>
      <c r="L112" s="6">
        <v>89</v>
      </c>
      <c r="M112" s="6">
        <v>102</v>
      </c>
      <c r="N112" s="6">
        <v>56</v>
      </c>
      <c r="O112" s="6">
        <v>74</v>
      </c>
      <c r="P112" s="6">
        <v>121</v>
      </c>
      <c r="Q112" s="6">
        <v>53</v>
      </c>
      <c r="R112" s="6">
        <v>95</v>
      </c>
      <c r="S112" s="6">
        <v>34</v>
      </c>
      <c r="T112" s="6">
        <v>86</v>
      </c>
      <c r="U112" s="6">
        <v>86</v>
      </c>
      <c r="V112" s="6">
        <v>64</v>
      </c>
      <c r="W112" s="6">
        <v>84</v>
      </c>
      <c r="X112" s="6">
        <v>255</v>
      </c>
      <c r="Y112" s="6">
        <v>49</v>
      </c>
      <c r="Z112" s="6">
        <v>48</v>
      </c>
      <c r="AA112" s="6">
        <v>20</v>
      </c>
      <c r="AB112" s="6">
        <v>115</v>
      </c>
      <c r="AC112" s="6">
        <v>292</v>
      </c>
      <c r="AD112" s="6">
        <v>44</v>
      </c>
      <c r="AE112" s="6">
        <v>133</v>
      </c>
    </row>
    <row r="113" spans="1:31" ht="30.75" thickBot="1" x14ac:dyDescent="0.3">
      <c r="A113" s="3">
        <v>2023</v>
      </c>
      <c r="B113" s="3">
        <v>4</v>
      </c>
      <c r="C113" s="3" t="s">
        <v>58</v>
      </c>
      <c r="D113" s="4" t="s">
        <v>40</v>
      </c>
      <c r="E113" s="3">
        <v>51</v>
      </c>
      <c r="F113" s="5">
        <v>0.72</v>
      </c>
      <c r="G113" s="6">
        <v>64</v>
      </c>
      <c r="H113" s="6">
        <v>34</v>
      </c>
      <c r="I113" s="6">
        <v>79</v>
      </c>
      <c r="J113" s="6">
        <v>56</v>
      </c>
      <c r="K113" s="6">
        <v>96</v>
      </c>
      <c r="L113" s="6">
        <v>95</v>
      </c>
      <c r="M113" s="6">
        <v>82</v>
      </c>
      <c r="N113" s="6">
        <v>79</v>
      </c>
      <c r="O113" s="6">
        <v>56</v>
      </c>
      <c r="P113" s="6">
        <v>34</v>
      </c>
      <c r="Q113" s="6">
        <v>133</v>
      </c>
      <c r="R113" s="6">
        <v>64</v>
      </c>
      <c r="S113" s="6">
        <v>142</v>
      </c>
      <c r="T113" s="6">
        <v>82</v>
      </c>
      <c r="U113" s="6">
        <v>38</v>
      </c>
      <c r="V113" s="6">
        <v>127</v>
      </c>
      <c r="W113" s="6">
        <v>54</v>
      </c>
      <c r="X113" s="6">
        <v>408</v>
      </c>
      <c r="Y113" s="6">
        <v>90</v>
      </c>
      <c r="Z113" s="6">
        <v>36</v>
      </c>
      <c r="AA113" s="6">
        <v>27</v>
      </c>
      <c r="AB113" s="6">
        <v>248</v>
      </c>
      <c r="AC113" s="6">
        <v>199</v>
      </c>
      <c r="AD113" s="6">
        <v>448</v>
      </c>
      <c r="AE113" s="6">
        <v>397</v>
      </c>
    </row>
    <row r="114" spans="1:31" ht="30.75" thickBot="1" x14ac:dyDescent="0.3">
      <c r="A114" s="3">
        <v>2023</v>
      </c>
      <c r="B114" s="3">
        <v>5</v>
      </c>
      <c r="C114" s="3" t="s">
        <v>65</v>
      </c>
      <c r="D114" s="4" t="s">
        <v>32</v>
      </c>
      <c r="E114" s="3">
        <v>42</v>
      </c>
      <c r="F114" s="5">
        <v>0.67</v>
      </c>
      <c r="G114" s="6">
        <v>52</v>
      </c>
      <c r="H114" s="6">
        <v>39</v>
      </c>
      <c r="I114" s="6">
        <v>85</v>
      </c>
      <c r="J114" s="6">
        <v>55</v>
      </c>
      <c r="K114" s="6">
        <v>97</v>
      </c>
      <c r="L114" s="6">
        <v>61</v>
      </c>
      <c r="M114" s="6">
        <v>138</v>
      </c>
      <c r="N114" s="6">
        <v>38</v>
      </c>
      <c r="O114" s="6">
        <v>56</v>
      </c>
      <c r="P114" s="6">
        <v>81</v>
      </c>
      <c r="Q114" s="6">
        <v>100</v>
      </c>
      <c r="R114" s="6">
        <v>49</v>
      </c>
      <c r="S114" s="6">
        <v>70</v>
      </c>
      <c r="T114" s="6">
        <v>46</v>
      </c>
      <c r="U114" s="6">
        <v>102</v>
      </c>
      <c r="V114" s="6">
        <v>197</v>
      </c>
      <c r="W114" s="6">
        <v>69</v>
      </c>
      <c r="X114" s="6">
        <v>66</v>
      </c>
      <c r="Y114" s="6">
        <v>158</v>
      </c>
      <c r="Z114" s="6">
        <v>84</v>
      </c>
      <c r="AA114" s="6">
        <v>110</v>
      </c>
      <c r="AB114" s="6">
        <v>104</v>
      </c>
      <c r="AC114" s="6">
        <v>182</v>
      </c>
      <c r="AD114" s="6">
        <v>217</v>
      </c>
      <c r="AE114" s="6">
        <v>115</v>
      </c>
    </row>
    <row r="115" spans="1:31" ht="30.75" thickBot="1" x14ac:dyDescent="0.3">
      <c r="A115" s="3">
        <v>2023</v>
      </c>
      <c r="B115" s="3">
        <v>5</v>
      </c>
      <c r="C115" s="3" t="s">
        <v>65</v>
      </c>
      <c r="D115" s="4" t="s">
        <v>35</v>
      </c>
      <c r="E115" s="3">
        <v>44</v>
      </c>
      <c r="F115" s="5">
        <v>0.46</v>
      </c>
      <c r="G115" s="6">
        <v>55</v>
      </c>
      <c r="H115" s="6">
        <v>13</v>
      </c>
      <c r="I115" s="6">
        <v>116</v>
      </c>
      <c r="J115" s="6">
        <v>65</v>
      </c>
      <c r="K115" s="6">
        <v>107</v>
      </c>
      <c r="L115" s="6">
        <v>37</v>
      </c>
      <c r="M115" s="6">
        <v>66</v>
      </c>
      <c r="N115" s="6">
        <v>84</v>
      </c>
      <c r="O115" s="6">
        <v>111</v>
      </c>
      <c r="P115" s="6">
        <v>37</v>
      </c>
      <c r="Q115" s="6">
        <v>113</v>
      </c>
      <c r="R115" s="6">
        <v>67</v>
      </c>
      <c r="S115" s="6">
        <v>36</v>
      </c>
      <c r="T115" s="6">
        <v>38</v>
      </c>
      <c r="U115" s="6">
        <v>65</v>
      </c>
      <c r="V115" s="6">
        <v>202</v>
      </c>
      <c r="W115" s="6">
        <v>82</v>
      </c>
      <c r="X115" s="6">
        <v>207</v>
      </c>
      <c r="Y115" s="6">
        <v>17</v>
      </c>
      <c r="Z115" s="6">
        <v>28</v>
      </c>
      <c r="AA115" s="6">
        <v>157</v>
      </c>
      <c r="AB115" s="6">
        <v>120</v>
      </c>
      <c r="AC115" s="6">
        <v>76</v>
      </c>
      <c r="AD115" s="6">
        <v>187</v>
      </c>
      <c r="AE115" s="6">
        <v>252</v>
      </c>
    </row>
    <row r="116" spans="1:31" ht="30.75" thickBot="1" x14ac:dyDescent="0.3">
      <c r="A116" s="3">
        <v>2023</v>
      </c>
      <c r="B116" s="3">
        <v>5</v>
      </c>
      <c r="C116" s="3" t="s">
        <v>65</v>
      </c>
      <c r="D116" s="4" t="s">
        <v>38</v>
      </c>
      <c r="E116" s="3">
        <v>52</v>
      </c>
      <c r="F116" s="5">
        <v>0.51</v>
      </c>
      <c r="G116" s="6">
        <v>65</v>
      </c>
      <c r="H116" s="6">
        <v>20</v>
      </c>
      <c r="I116" s="6">
        <v>95</v>
      </c>
      <c r="J116" s="6">
        <v>108</v>
      </c>
      <c r="K116" s="6">
        <v>54</v>
      </c>
      <c r="L116" s="6">
        <v>37</v>
      </c>
      <c r="M116" s="6">
        <v>85</v>
      </c>
      <c r="N116" s="6">
        <v>130</v>
      </c>
      <c r="O116" s="6">
        <v>140</v>
      </c>
      <c r="P116" s="6">
        <v>97</v>
      </c>
      <c r="Q116" s="6">
        <v>108</v>
      </c>
      <c r="R116" s="6">
        <v>54</v>
      </c>
      <c r="S116" s="6">
        <v>77</v>
      </c>
      <c r="T116" s="6">
        <v>75</v>
      </c>
      <c r="U116" s="6">
        <v>87</v>
      </c>
      <c r="V116" s="6">
        <v>219</v>
      </c>
      <c r="W116" s="6">
        <v>53</v>
      </c>
      <c r="X116" s="6">
        <v>232</v>
      </c>
      <c r="Y116" s="6">
        <v>240</v>
      </c>
      <c r="Z116" s="6">
        <v>376</v>
      </c>
      <c r="AA116" s="6">
        <v>34</v>
      </c>
      <c r="AB116" s="6">
        <v>136</v>
      </c>
      <c r="AC116" s="6">
        <v>33</v>
      </c>
      <c r="AD116" s="6">
        <v>173</v>
      </c>
      <c r="AE116" s="6">
        <v>94</v>
      </c>
    </row>
    <row r="117" spans="1:31" ht="30.75" thickBot="1" x14ac:dyDescent="0.3">
      <c r="A117" s="3">
        <v>2023</v>
      </c>
      <c r="B117" s="3">
        <v>5</v>
      </c>
      <c r="C117" s="3" t="s">
        <v>65</v>
      </c>
      <c r="D117" s="4" t="s">
        <v>40</v>
      </c>
      <c r="E117" s="3">
        <v>25</v>
      </c>
      <c r="F117" s="5">
        <v>0.59</v>
      </c>
      <c r="G117" s="6">
        <v>31</v>
      </c>
      <c r="H117" s="6">
        <v>24</v>
      </c>
      <c r="I117" s="6">
        <v>60</v>
      </c>
      <c r="J117" s="6">
        <v>94</v>
      </c>
      <c r="K117" s="6">
        <v>96</v>
      </c>
      <c r="L117" s="6">
        <v>51</v>
      </c>
      <c r="M117" s="6">
        <v>69</v>
      </c>
      <c r="N117" s="6">
        <v>68</v>
      </c>
      <c r="O117" s="6">
        <v>82</v>
      </c>
      <c r="P117" s="6">
        <v>55</v>
      </c>
      <c r="Q117" s="6">
        <v>40</v>
      </c>
      <c r="R117" s="6">
        <v>92</v>
      </c>
      <c r="S117" s="6">
        <v>64</v>
      </c>
      <c r="T117" s="6">
        <v>123</v>
      </c>
      <c r="U117" s="6">
        <v>14</v>
      </c>
      <c r="V117" s="6">
        <v>126</v>
      </c>
      <c r="W117" s="6">
        <v>113</v>
      </c>
      <c r="X117" s="6">
        <v>38</v>
      </c>
      <c r="Y117" s="6">
        <v>35</v>
      </c>
      <c r="Z117" s="6">
        <v>60</v>
      </c>
      <c r="AA117" s="6">
        <v>86</v>
      </c>
      <c r="AB117" s="6">
        <v>109</v>
      </c>
      <c r="AC117" s="6">
        <v>99</v>
      </c>
      <c r="AD117" s="6">
        <v>167</v>
      </c>
      <c r="AE117" s="6">
        <v>308</v>
      </c>
    </row>
    <row r="118" spans="1:31" ht="30.75" thickBot="1" x14ac:dyDescent="0.3">
      <c r="A118" s="3">
        <v>2023</v>
      </c>
      <c r="B118" s="3">
        <v>6</v>
      </c>
      <c r="C118" s="3" t="s">
        <v>71</v>
      </c>
      <c r="D118" s="4" t="s">
        <v>32</v>
      </c>
      <c r="E118" s="3">
        <v>25</v>
      </c>
      <c r="F118" s="5">
        <v>0.48</v>
      </c>
      <c r="G118" s="6">
        <v>31</v>
      </c>
      <c r="H118" s="6">
        <v>51</v>
      </c>
      <c r="I118" s="6">
        <v>72</v>
      </c>
      <c r="J118" s="6">
        <v>63</v>
      </c>
      <c r="K118" s="6">
        <v>41</v>
      </c>
      <c r="L118" s="6">
        <v>67</v>
      </c>
      <c r="M118" s="6">
        <v>112</v>
      </c>
      <c r="N118" s="6">
        <v>80</v>
      </c>
      <c r="O118" s="6">
        <v>149</v>
      </c>
      <c r="P118" s="6">
        <v>116</v>
      </c>
      <c r="Q118" s="6">
        <v>88</v>
      </c>
      <c r="R118" s="6">
        <v>43</v>
      </c>
      <c r="S118" s="6">
        <v>52</v>
      </c>
      <c r="T118" s="6">
        <v>51</v>
      </c>
      <c r="U118" s="6">
        <v>18</v>
      </c>
      <c r="V118" s="6">
        <v>38</v>
      </c>
      <c r="W118" s="6">
        <v>85</v>
      </c>
      <c r="X118" s="6">
        <v>146</v>
      </c>
      <c r="Y118" s="6">
        <v>133</v>
      </c>
      <c r="Z118" s="6">
        <v>464</v>
      </c>
      <c r="AA118" s="6">
        <v>36</v>
      </c>
      <c r="AB118" s="6">
        <v>304</v>
      </c>
      <c r="AC118" s="6">
        <v>138</v>
      </c>
      <c r="AD118" s="6">
        <v>20</v>
      </c>
      <c r="AE118" s="6">
        <v>47</v>
      </c>
    </row>
    <row r="119" spans="1:31" ht="30.75" thickBot="1" x14ac:dyDescent="0.3">
      <c r="A119" s="3">
        <v>2023</v>
      </c>
      <c r="B119" s="3">
        <v>6</v>
      </c>
      <c r="C119" s="3" t="s">
        <v>71</v>
      </c>
      <c r="D119" s="4" t="s">
        <v>35</v>
      </c>
      <c r="E119" s="3">
        <v>35</v>
      </c>
      <c r="F119" s="5">
        <v>0.75</v>
      </c>
      <c r="G119" s="6">
        <v>43</v>
      </c>
      <c r="H119" s="6">
        <v>51</v>
      </c>
      <c r="I119" s="6">
        <v>82</v>
      </c>
      <c r="J119" s="6">
        <v>55</v>
      </c>
      <c r="K119" s="6">
        <v>70</v>
      </c>
      <c r="L119" s="6">
        <v>78</v>
      </c>
      <c r="M119" s="6">
        <v>63</v>
      </c>
      <c r="N119" s="6">
        <v>82</v>
      </c>
      <c r="O119" s="6">
        <v>55</v>
      </c>
      <c r="P119" s="6">
        <v>71</v>
      </c>
      <c r="Q119" s="6">
        <v>77</v>
      </c>
      <c r="R119" s="6">
        <v>86</v>
      </c>
      <c r="S119" s="6">
        <v>53</v>
      </c>
      <c r="T119" s="6">
        <v>86</v>
      </c>
      <c r="U119" s="6">
        <v>45</v>
      </c>
      <c r="V119" s="6">
        <v>34</v>
      </c>
      <c r="W119" s="6">
        <v>36</v>
      </c>
      <c r="X119" s="6">
        <v>157</v>
      </c>
      <c r="Y119" s="6">
        <v>44</v>
      </c>
      <c r="Z119" s="6">
        <v>27</v>
      </c>
      <c r="AA119" s="6">
        <v>122</v>
      </c>
      <c r="AB119" s="6">
        <v>172</v>
      </c>
      <c r="AC119" s="6">
        <v>118</v>
      </c>
      <c r="AD119" s="6">
        <v>171</v>
      </c>
      <c r="AE119" s="6">
        <v>20</v>
      </c>
    </row>
    <row r="120" spans="1:31" ht="30.75" thickBot="1" x14ac:dyDescent="0.3">
      <c r="A120" s="3">
        <v>2023</v>
      </c>
      <c r="B120" s="3">
        <v>6</v>
      </c>
      <c r="C120" s="3" t="s">
        <v>71</v>
      </c>
      <c r="D120" s="4" t="s">
        <v>38</v>
      </c>
      <c r="E120" s="3">
        <v>35</v>
      </c>
      <c r="F120" s="5">
        <v>0.74</v>
      </c>
      <c r="G120" s="6">
        <v>43</v>
      </c>
      <c r="H120" s="6">
        <v>20</v>
      </c>
      <c r="I120" s="6">
        <v>70</v>
      </c>
      <c r="J120" s="6">
        <v>115</v>
      </c>
      <c r="K120" s="6">
        <v>64</v>
      </c>
      <c r="L120" s="6">
        <v>77</v>
      </c>
      <c r="M120" s="6">
        <v>146</v>
      </c>
      <c r="N120" s="6">
        <v>99</v>
      </c>
      <c r="O120" s="6">
        <v>67</v>
      </c>
      <c r="P120" s="6">
        <v>74</v>
      </c>
      <c r="Q120" s="6">
        <v>68</v>
      </c>
      <c r="R120" s="6">
        <v>125</v>
      </c>
      <c r="S120" s="6">
        <v>111</v>
      </c>
      <c r="T120" s="6">
        <v>125</v>
      </c>
      <c r="U120" s="6">
        <v>87</v>
      </c>
      <c r="V120" s="6">
        <v>362</v>
      </c>
      <c r="W120" s="6">
        <v>81</v>
      </c>
      <c r="X120" s="6">
        <v>170</v>
      </c>
      <c r="Y120" s="6">
        <v>177</v>
      </c>
      <c r="Z120" s="6">
        <v>91</v>
      </c>
      <c r="AA120" s="6">
        <v>153</v>
      </c>
      <c r="AB120" s="6">
        <v>100</v>
      </c>
      <c r="AC120" s="6">
        <v>115</v>
      </c>
      <c r="AD120" s="6">
        <v>106</v>
      </c>
      <c r="AE120" s="6">
        <v>22</v>
      </c>
    </row>
    <row r="121" spans="1:31" ht="30.75" thickBot="1" x14ac:dyDescent="0.3">
      <c r="A121" s="3">
        <v>2023</v>
      </c>
      <c r="B121" s="3">
        <v>6</v>
      </c>
      <c r="C121" s="3" t="s">
        <v>71</v>
      </c>
      <c r="D121" s="4" t="s">
        <v>40</v>
      </c>
      <c r="E121" s="3">
        <v>59</v>
      </c>
      <c r="F121" s="5">
        <v>0.59</v>
      </c>
      <c r="G121" s="6">
        <v>74</v>
      </c>
      <c r="H121" s="6">
        <v>32</v>
      </c>
      <c r="I121" s="6">
        <v>71</v>
      </c>
      <c r="J121" s="6">
        <v>66</v>
      </c>
      <c r="K121" s="6">
        <v>86</v>
      </c>
      <c r="L121" s="6">
        <v>38</v>
      </c>
      <c r="M121" s="6">
        <v>84</v>
      </c>
      <c r="N121" s="6">
        <v>48</v>
      </c>
      <c r="O121" s="6">
        <v>90</v>
      </c>
      <c r="P121" s="6">
        <v>100</v>
      </c>
      <c r="Q121" s="6">
        <v>61</v>
      </c>
      <c r="R121" s="6">
        <v>92</v>
      </c>
      <c r="S121" s="6">
        <v>56</v>
      </c>
      <c r="T121" s="6">
        <v>94</v>
      </c>
      <c r="U121" s="6">
        <v>28</v>
      </c>
      <c r="V121" s="6">
        <v>223</v>
      </c>
      <c r="W121" s="6">
        <v>564</v>
      </c>
      <c r="X121" s="6">
        <v>33</v>
      </c>
      <c r="Y121" s="6">
        <v>102</v>
      </c>
      <c r="Z121" s="6">
        <v>70</v>
      </c>
      <c r="AA121" s="6">
        <v>253</v>
      </c>
      <c r="AB121" s="6">
        <v>25</v>
      </c>
      <c r="AC121" s="6">
        <v>245</v>
      </c>
      <c r="AD121" s="6">
        <v>231</v>
      </c>
      <c r="AE121" s="6">
        <v>357</v>
      </c>
    </row>
    <row r="122" spans="1:31" ht="30.75" thickBot="1" x14ac:dyDescent="0.3">
      <c r="A122" s="3">
        <v>2023</v>
      </c>
      <c r="B122" s="3">
        <v>7</v>
      </c>
      <c r="C122" s="3" t="s">
        <v>76</v>
      </c>
      <c r="D122" s="4" t="s">
        <v>32</v>
      </c>
      <c r="E122" s="3">
        <v>83</v>
      </c>
      <c r="F122" s="5">
        <v>0.7</v>
      </c>
      <c r="G122" s="6">
        <v>104</v>
      </c>
      <c r="H122" s="6">
        <v>19</v>
      </c>
      <c r="I122" s="6">
        <v>47</v>
      </c>
      <c r="J122" s="6">
        <v>78</v>
      </c>
      <c r="K122" s="6">
        <v>48</v>
      </c>
      <c r="L122" s="6">
        <v>98</v>
      </c>
      <c r="M122" s="6">
        <v>40</v>
      </c>
      <c r="N122" s="6">
        <v>103</v>
      </c>
      <c r="O122" s="6">
        <v>51</v>
      </c>
      <c r="P122" s="6">
        <v>131</v>
      </c>
      <c r="Q122" s="6">
        <v>56</v>
      </c>
      <c r="R122" s="6">
        <v>88</v>
      </c>
      <c r="S122" s="6">
        <v>107</v>
      </c>
      <c r="T122" s="6">
        <v>75</v>
      </c>
      <c r="U122" s="6">
        <v>25</v>
      </c>
      <c r="V122" s="6">
        <v>63</v>
      </c>
      <c r="W122" s="6">
        <v>5</v>
      </c>
      <c r="X122" s="6">
        <v>29</v>
      </c>
      <c r="Y122" s="6">
        <v>84</v>
      </c>
      <c r="Z122" s="6">
        <v>173</v>
      </c>
      <c r="AA122" s="6">
        <v>71</v>
      </c>
      <c r="AB122" s="6">
        <v>338</v>
      </c>
      <c r="AC122" s="6">
        <v>22</v>
      </c>
      <c r="AD122" s="6">
        <v>34</v>
      </c>
      <c r="AE122" s="6">
        <v>308</v>
      </c>
    </row>
    <row r="123" spans="1:31" ht="30.75" thickBot="1" x14ac:dyDescent="0.3">
      <c r="A123" s="3">
        <v>2023</v>
      </c>
      <c r="B123" s="3">
        <v>7</v>
      </c>
      <c r="C123" s="3" t="s">
        <v>76</v>
      </c>
      <c r="D123" s="4" t="s">
        <v>35</v>
      </c>
      <c r="E123" s="3">
        <v>46</v>
      </c>
      <c r="F123" s="5">
        <v>0.49</v>
      </c>
      <c r="G123" s="6">
        <v>58</v>
      </c>
      <c r="H123" s="6">
        <v>13</v>
      </c>
      <c r="I123" s="6">
        <v>40</v>
      </c>
      <c r="J123" s="6">
        <v>75</v>
      </c>
      <c r="K123" s="6">
        <v>74</v>
      </c>
      <c r="L123" s="6">
        <v>76</v>
      </c>
      <c r="M123" s="6">
        <v>84</v>
      </c>
      <c r="N123" s="6">
        <v>52</v>
      </c>
      <c r="O123" s="6">
        <v>59</v>
      </c>
      <c r="P123" s="6">
        <v>53</v>
      </c>
      <c r="Q123" s="6">
        <v>112</v>
      </c>
      <c r="R123" s="6">
        <v>63</v>
      </c>
      <c r="S123" s="6">
        <v>64</v>
      </c>
      <c r="T123" s="6">
        <v>66</v>
      </c>
      <c r="U123" s="6">
        <v>26</v>
      </c>
      <c r="V123" s="6">
        <v>53</v>
      </c>
      <c r="W123" s="6">
        <v>37</v>
      </c>
      <c r="X123" s="6">
        <v>7</v>
      </c>
      <c r="Y123" s="6">
        <v>28</v>
      </c>
      <c r="Z123" s="6">
        <v>43</v>
      </c>
      <c r="AA123" s="6">
        <v>236</v>
      </c>
      <c r="AB123" s="6">
        <v>122</v>
      </c>
      <c r="AC123" s="6">
        <v>70</v>
      </c>
      <c r="AD123" s="6">
        <v>44</v>
      </c>
      <c r="AE123" s="6">
        <v>61</v>
      </c>
    </row>
    <row r="124" spans="1:31" ht="30.75" thickBot="1" x14ac:dyDescent="0.3">
      <c r="A124" s="3">
        <v>2023</v>
      </c>
      <c r="B124" s="3">
        <v>7</v>
      </c>
      <c r="C124" s="3" t="s">
        <v>76</v>
      </c>
      <c r="D124" s="4" t="s">
        <v>38</v>
      </c>
      <c r="E124" s="3">
        <v>55</v>
      </c>
      <c r="F124" s="5">
        <v>0.68</v>
      </c>
      <c r="G124" s="6">
        <v>69</v>
      </c>
      <c r="H124" s="6">
        <v>9</v>
      </c>
      <c r="I124" s="6">
        <v>48</v>
      </c>
      <c r="J124" s="6">
        <v>58</v>
      </c>
      <c r="K124" s="6">
        <v>72</v>
      </c>
      <c r="L124" s="6">
        <v>67</v>
      </c>
      <c r="M124" s="6">
        <v>52</v>
      </c>
      <c r="N124" s="6">
        <v>36</v>
      </c>
      <c r="O124" s="6">
        <v>48</v>
      </c>
      <c r="P124" s="6">
        <v>84</v>
      </c>
      <c r="Q124" s="6">
        <v>58</v>
      </c>
      <c r="R124" s="6">
        <v>107</v>
      </c>
      <c r="S124" s="6">
        <v>67</v>
      </c>
      <c r="T124" s="6">
        <v>38</v>
      </c>
      <c r="U124" s="6">
        <v>81</v>
      </c>
      <c r="V124" s="6">
        <v>136</v>
      </c>
      <c r="W124" s="6">
        <v>16</v>
      </c>
      <c r="X124" s="6">
        <v>309</v>
      </c>
      <c r="Y124" s="6">
        <v>18</v>
      </c>
      <c r="Z124" s="6">
        <v>145</v>
      </c>
      <c r="AA124" s="6">
        <v>157</v>
      </c>
      <c r="AB124" s="6">
        <v>143</v>
      </c>
      <c r="AC124" s="6">
        <v>132</v>
      </c>
      <c r="AD124" s="6">
        <v>105</v>
      </c>
      <c r="AE124" s="6">
        <v>237</v>
      </c>
    </row>
    <row r="125" spans="1:31" ht="30.75" thickBot="1" x14ac:dyDescent="0.3">
      <c r="A125" s="3">
        <v>2023</v>
      </c>
      <c r="B125" s="3">
        <v>7</v>
      </c>
      <c r="C125" s="3" t="s">
        <v>76</v>
      </c>
      <c r="D125" s="4" t="s">
        <v>40</v>
      </c>
      <c r="E125" s="3">
        <v>49</v>
      </c>
      <c r="F125" s="5">
        <v>0.49</v>
      </c>
      <c r="G125" s="6">
        <v>61</v>
      </c>
      <c r="H125" s="6">
        <v>31</v>
      </c>
      <c r="I125" s="6">
        <v>73</v>
      </c>
      <c r="J125" s="6">
        <v>48</v>
      </c>
      <c r="K125" s="6">
        <v>100</v>
      </c>
      <c r="L125" s="6">
        <v>50</v>
      </c>
      <c r="M125" s="6">
        <v>64</v>
      </c>
      <c r="N125" s="6">
        <v>56</v>
      </c>
      <c r="O125" s="6">
        <v>66</v>
      </c>
      <c r="P125" s="6">
        <v>127</v>
      </c>
      <c r="Q125" s="6">
        <v>96</v>
      </c>
      <c r="R125" s="6">
        <v>100</v>
      </c>
      <c r="S125" s="6">
        <v>71</v>
      </c>
      <c r="T125" s="6">
        <v>36</v>
      </c>
      <c r="U125" s="6">
        <v>106</v>
      </c>
      <c r="V125" s="6">
        <v>11</v>
      </c>
      <c r="W125" s="6">
        <v>291</v>
      </c>
      <c r="X125" s="6">
        <v>20</v>
      </c>
      <c r="Y125" s="6">
        <v>77</v>
      </c>
      <c r="Z125" s="6">
        <v>26</v>
      </c>
      <c r="AA125" s="6">
        <v>365</v>
      </c>
      <c r="AB125" s="6">
        <v>126</v>
      </c>
      <c r="AC125" s="6">
        <v>108</v>
      </c>
      <c r="AD125" s="6">
        <v>219</v>
      </c>
      <c r="AE125" s="6">
        <v>10</v>
      </c>
    </row>
    <row r="126" spans="1:31" ht="30.75" thickBot="1" x14ac:dyDescent="0.3">
      <c r="A126" s="3">
        <v>2023</v>
      </c>
      <c r="B126" s="3">
        <v>8</v>
      </c>
      <c r="C126" s="3" t="s">
        <v>81</v>
      </c>
      <c r="D126" s="4" t="s">
        <v>32</v>
      </c>
      <c r="E126" s="3">
        <v>111</v>
      </c>
      <c r="F126" s="5">
        <v>0.47</v>
      </c>
      <c r="G126" s="6">
        <v>139</v>
      </c>
      <c r="H126" s="6">
        <v>44</v>
      </c>
      <c r="I126" s="6">
        <v>83</v>
      </c>
      <c r="J126" s="6">
        <v>75</v>
      </c>
      <c r="K126" s="6">
        <v>81</v>
      </c>
      <c r="L126" s="6">
        <v>52</v>
      </c>
      <c r="M126" s="6">
        <v>70</v>
      </c>
      <c r="N126" s="6">
        <v>72</v>
      </c>
      <c r="O126" s="6">
        <v>112</v>
      </c>
      <c r="P126" s="6">
        <v>52</v>
      </c>
      <c r="Q126" s="6">
        <v>98</v>
      </c>
      <c r="R126" s="6">
        <v>78</v>
      </c>
      <c r="S126" s="6">
        <v>137</v>
      </c>
      <c r="T126" s="6">
        <v>91</v>
      </c>
      <c r="U126" s="6">
        <v>73</v>
      </c>
      <c r="V126" s="6">
        <v>57</v>
      </c>
      <c r="W126" s="6">
        <v>137</v>
      </c>
      <c r="X126" s="6">
        <v>369</v>
      </c>
      <c r="Y126" s="6">
        <v>227</v>
      </c>
      <c r="Z126" s="6">
        <v>149</v>
      </c>
      <c r="AA126" s="6">
        <v>75</v>
      </c>
      <c r="AB126" s="6">
        <v>11</v>
      </c>
      <c r="AC126" s="6">
        <v>497</v>
      </c>
      <c r="AD126" s="6">
        <v>336</v>
      </c>
      <c r="AE126" s="6">
        <v>351</v>
      </c>
    </row>
    <row r="127" spans="1:31" ht="30.75" thickBot="1" x14ac:dyDescent="0.3">
      <c r="A127" s="3">
        <v>2023</v>
      </c>
      <c r="B127" s="3">
        <v>8</v>
      </c>
      <c r="C127" s="3" t="s">
        <v>81</v>
      </c>
      <c r="D127" s="4" t="s">
        <v>35</v>
      </c>
      <c r="E127" s="3">
        <v>99</v>
      </c>
      <c r="F127" s="5">
        <v>0.5</v>
      </c>
      <c r="G127" s="6">
        <v>123</v>
      </c>
      <c r="H127" s="6">
        <v>44</v>
      </c>
      <c r="I127" s="6">
        <v>28</v>
      </c>
      <c r="J127" s="6">
        <v>82</v>
      </c>
      <c r="K127" s="6">
        <v>72</v>
      </c>
      <c r="L127" s="6">
        <v>132</v>
      </c>
      <c r="M127" s="6">
        <v>40</v>
      </c>
      <c r="N127" s="6">
        <v>86</v>
      </c>
      <c r="O127" s="6">
        <v>97</v>
      </c>
      <c r="P127" s="6">
        <v>112</v>
      </c>
      <c r="Q127" s="6">
        <v>62</v>
      </c>
      <c r="R127" s="6">
        <v>63</v>
      </c>
      <c r="S127" s="6">
        <v>93</v>
      </c>
      <c r="T127" s="6">
        <v>65</v>
      </c>
      <c r="U127" s="6">
        <v>71</v>
      </c>
      <c r="V127" s="6">
        <v>37</v>
      </c>
      <c r="W127" s="6">
        <v>102</v>
      </c>
      <c r="X127" s="6">
        <v>166</v>
      </c>
      <c r="Y127" s="6">
        <v>56</v>
      </c>
      <c r="Z127" s="6">
        <v>116</v>
      </c>
      <c r="AA127" s="6">
        <v>149</v>
      </c>
      <c r="AB127" s="6">
        <v>153</v>
      </c>
      <c r="AC127" s="6">
        <v>202</v>
      </c>
      <c r="AD127" s="6">
        <v>41</v>
      </c>
      <c r="AE127" s="6">
        <v>112</v>
      </c>
    </row>
    <row r="128" spans="1:31" ht="30.75" thickBot="1" x14ac:dyDescent="0.3">
      <c r="A128" s="3">
        <v>2023</v>
      </c>
      <c r="B128" s="3">
        <v>8</v>
      </c>
      <c r="C128" s="3" t="s">
        <v>81</v>
      </c>
      <c r="D128" s="4" t="s">
        <v>38</v>
      </c>
      <c r="E128" s="3">
        <v>98</v>
      </c>
      <c r="F128" s="5">
        <v>0.69</v>
      </c>
      <c r="G128" s="6">
        <v>122</v>
      </c>
      <c r="H128" s="6">
        <v>34</v>
      </c>
      <c r="I128" s="6">
        <v>119</v>
      </c>
      <c r="J128" s="6">
        <v>100</v>
      </c>
      <c r="K128" s="6">
        <v>102</v>
      </c>
      <c r="L128" s="6">
        <v>35</v>
      </c>
      <c r="M128" s="6">
        <v>150</v>
      </c>
      <c r="N128" s="6">
        <v>27</v>
      </c>
      <c r="O128" s="6">
        <v>78</v>
      </c>
      <c r="P128" s="6">
        <v>114</v>
      </c>
      <c r="Q128" s="6">
        <v>95</v>
      </c>
      <c r="R128" s="6">
        <v>46</v>
      </c>
      <c r="S128" s="6">
        <v>57</v>
      </c>
      <c r="T128" s="6">
        <v>96</v>
      </c>
      <c r="U128" s="6">
        <v>84</v>
      </c>
      <c r="V128" s="6">
        <v>232</v>
      </c>
      <c r="W128" s="6">
        <v>279</v>
      </c>
      <c r="X128" s="6">
        <v>214</v>
      </c>
      <c r="Y128" s="6">
        <v>20</v>
      </c>
      <c r="Z128" s="6">
        <v>366</v>
      </c>
      <c r="AA128" s="6">
        <v>136</v>
      </c>
      <c r="AB128" s="6">
        <v>235</v>
      </c>
      <c r="AC128" s="6">
        <v>149</v>
      </c>
      <c r="AD128" s="6">
        <v>25</v>
      </c>
      <c r="AE128" s="6">
        <v>456</v>
      </c>
    </row>
    <row r="129" spans="1:31" ht="30.75" thickBot="1" x14ac:dyDescent="0.3">
      <c r="A129" s="3">
        <v>2023</v>
      </c>
      <c r="B129" s="3">
        <v>8</v>
      </c>
      <c r="C129" s="3" t="s">
        <v>81</v>
      </c>
      <c r="D129" s="4" t="s">
        <v>40</v>
      </c>
      <c r="E129" s="3">
        <v>38</v>
      </c>
      <c r="F129" s="5">
        <v>0.57999999999999996</v>
      </c>
      <c r="G129" s="6">
        <v>48</v>
      </c>
      <c r="H129" s="6">
        <v>16</v>
      </c>
      <c r="I129" s="6">
        <v>49</v>
      </c>
      <c r="J129" s="6">
        <v>102</v>
      </c>
      <c r="K129" s="6">
        <v>49</v>
      </c>
      <c r="L129" s="6">
        <v>81</v>
      </c>
      <c r="M129" s="6">
        <v>118</v>
      </c>
      <c r="N129" s="6">
        <v>80</v>
      </c>
      <c r="O129" s="6">
        <v>66</v>
      </c>
      <c r="P129" s="6">
        <v>59</v>
      </c>
      <c r="Q129" s="6">
        <v>86</v>
      </c>
      <c r="R129" s="6">
        <v>72</v>
      </c>
      <c r="S129" s="6">
        <v>43</v>
      </c>
      <c r="T129" s="6">
        <v>75</v>
      </c>
      <c r="U129" s="6">
        <v>103</v>
      </c>
      <c r="V129" s="6">
        <v>112</v>
      </c>
      <c r="W129" s="6">
        <v>66</v>
      </c>
      <c r="X129" s="6">
        <v>48</v>
      </c>
      <c r="Y129" s="6">
        <v>88</v>
      </c>
      <c r="Z129" s="6">
        <v>143</v>
      </c>
      <c r="AA129" s="6">
        <v>170</v>
      </c>
      <c r="AB129" s="6">
        <v>74</v>
      </c>
      <c r="AC129" s="6">
        <v>189</v>
      </c>
      <c r="AD129" s="6">
        <v>81</v>
      </c>
      <c r="AE129" s="6">
        <v>114</v>
      </c>
    </row>
    <row r="130" spans="1:31" ht="30.75" thickBot="1" x14ac:dyDescent="0.3">
      <c r="A130" s="3">
        <v>2023</v>
      </c>
      <c r="B130" s="3">
        <v>9</v>
      </c>
      <c r="C130" s="3" t="s">
        <v>87</v>
      </c>
      <c r="D130" s="4" t="s">
        <v>32</v>
      </c>
      <c r="E130" s="3">
        <v>102</v>
      </c>
      <c r="F130" s="5">
        <v>0.48</v>
      </c>
      <c r="G130" s="6">
        <v>128</v>
      </c>
      <c r="H130" s="6">
        <v>51</v>
      </c>
      <c r="I130" s="6">
        <v>69</v>
      </c>
      <c r="J130" s="6">
        <v>98</v>
      </c>
      <c r="K130" s="6">
        <v>38</v>
      </c>
      <c r="L130" s="6">
        <v>58</v>
      </c>
      <c r="M130" s="6">
        <v>42</v>
      </c>
      <c r="N130" s="6">
        <v>89</v>
      </c>
      <c r="O130" s="6">
        <v>84</v>
      </c>
      <c r="P130" s="6">
        <v>106</v>
      </c>
      <c r="Q130" s="6">
        <v>60</v>
      </c>
      <c r="R130" s="6">
        <v>59</v>
      </c>
      <c r="S130" s="6">
        <v>74</v>
      </c>
      <c r="T130" s="6">
        <v>104</v>
      </c>
      <c r="U130" s="6">
        <v>62</v>
      </c>
      <c r="V130" s="6">
        <v>11</v>
      </c>
      <c r="W130" s="6">
        <v>198</v>
      </c>
      <c r="X130" s="6">
        <v>38</v>
      </c>
      <c r="Y130" s="6">
        <v>68</v>
      </c>
      <c r="Z130" s="6">
        <v>20</v>
      </c>
      <c r="AA130" s="6">
        <v>296</v>
      </c>
      <c r="AB130" s="6">
        <v>81</v>
      </c>
      <c r="AC130" s="6">
        <v>196</v>
      </c>
      <c r="AD130" s="6">
        <v>152</v>
      </c>
      <c r="AE130" s="6">
        <v>62</v>
      </c>
    </row>
    <row r="131" spans="1:31" ht="30.75" thickBot="1" x14ac:dyDescent="0.3">
      <c r="A131" s="3">
        <v>2023</v>
      </c>
      <c r="B131" s="3">
        <v>9</v>
      </c>
      <c r="C131" s="3" t="s">
        <v>87</v>
      </c>
      <c r="D131" s="4" t="s">
        <v>35</v>
      </c>
      <c r="E131" s="3">
        <v>28</v>
      </c>
      <c r="F131" s="5">
        <v>0.69</v>
      </c>
      <c r="G131" s="6">
        <v>36</v>
      </c>
      <c r="H131" s="6">
        <v>34</v>
      </c>
      <c r="I131" s="6">
        <v>65</v>
      </c>
      <c r="J131" s="6">
        <v>78</v>
      </c>
      <c r="K131" s="6">
        <v>80</v>
      </c>
      <c r="L131" s="6">
        <v>88</v>
      </c>
      <c r="M131" s="6">
        <v>57</v>
      </c>
      <c r="N131" s="6">
        <v>94</v>
      </c>
      <c r="O131" s="6">
        <v>150</v>
      </c>
      <c r="P131" s="6">
        <v>84</v>
      </c>
      <c r="Q131" s="6">
        <v>52</v>
      </c>
      <c r="R131" s="6">
        <v>53</v>
      </c>
      <c r="S131" s="6">
        <v>83</v>
      </c>
      <c r="T131" s="6">
        <v>56</v>
      </c>
      <c r="U131" s="6">
        <v>61</v>
      </c>
      <c r="V131" s="6">
        <v>15</v>
      </c>
      <c r="W131" s="6">
        <v>110</v>
      </c>
      <c r="X131" s="6">
        <v>128</v>
      </c>
      <c r="Y131" s="6">
        <v>118</v>
      </c>
      <c r="Z131" s="6">
        <v>63</v>
      </c>
      <c r="AA131" s="6">
        <v>14</v>
      </c>
      <c r="AB131" s="6">
        <v>83</v>
      </c>
      <c r="AC131" s="6">
        <v>246</v>
      </c>
      <c r="AD131" s="6">
        <v>248</v>
      </c>
      <c r="AE131" s="6">
        <v>8</v>
      </c>
    </row>
    <row r="132" spans="1:31" ht="30.75" thickBot="1" x14ac:dyDescent="0.3">
      <c r="A132" s="3">
        <v>2023</v>
      </c>
      <c r="B132" s="3">
        <v>9</v>
      </c>
      <c r="C132" s="3" t="s">
        <v>87</v>
      </c>
      <c r="D132" s="4" t="s">
        <v>38</v>
      </c>
      <c r="E132" s="3">
        <v>48</v>
      </c>
      <c r="F132" s="5">
        <v>0.54</v>
      </c>
      <c r="G132" s="6">
        <v>60</v>
      </c>
      <c r="H132" s="6">
        <v>14</v>
      </c>
      <c r="I132" s="6">
        <v>67</v>
      </c>
      <c r="J132" s="6">
        <v>100</v>
      </c>
      <c r="K132" s="6">
        <v>77</v>
      </c>
      <c r="L132" s="6">
        <v>86</v>
      </c>
      <c r="M132" s="6">
        <v>89</v>
      </c>
      <c r="N132" s="6">
        <v>85</v>
      </c>
      <c r="O132" s="6">
        <v>48</v>
      </c>
      <c r="P132" s="6">
        <v>62</v>
      </c>
      <c r="Q132" s="6">
        <v>108</v>
      </c>
      <c r="R132" s="6">
        <v>62</v>
      </c>
      <c r="S132" s="6">
        <v>145</v>
      </c>
      <c r="T132" s="6">
        <v>145</v>
      </c>
      <c r="U132" s="6">
        <v>71</v>
      </c>
      <c r="V132" s="6">
        <v>362</v>
      </c>
      <c r="W132" s="6">
        <v>81</v>
      </c>
      <c r="X132" s="6">
        <v>588</v>
      </c>
      <c r="Y132" s="6">
        <v>62</v>
      </c>
      <c r="Z132" s="6">
        <v>65</v>
      </c>
      <c r="AA132" s="6">
        <v>7</v>
      </c>
      <c r="AB132" s="6">
        <v>3</v>
      </c>
      <c r="AC132" s="6">
        <v>195</v>
      </c>
      <c r="AD132" s="6">
        <v>68</v>
      </c>
      <c r="AE132" s="6">
        <v>7</v>
      </c>
    </row>
    <row r="133" spans="1:31" ht="30.75" thickBot="1" x14ac:dyDescent="0.3">
      <c r="A133" s="3">
        <v>2023</v>
      </c>
      <c r="B133" s="3">
        <v>9</v>
      </c>
      <c r="C133" s="3" t="s">
        <v>87</v>
      </c>
      <c r="D133" s="4" t="s">
        <v>40</v>
      </c>
      <c r="E133" s="3">
        <v>66</v>
      </c>
      <c r="F133" s="5">
        <v>0.46</v>
      </c>
      <c r="G133" s="6">
        <v>83</v>
      </c>
      <c r="H133" s="6">
        <v>41</v>
      </c>
      <c r="I133" s="6">
        <v>125</v>
      </c>
      <c r="J133" s="6">
        <v>110</v>
      </c>
      <c r="K133" s="6">
        <v>70</v>
      </c>
      <c r="L133" s="6">
        <v>36</v>
      </c>
      <c r="M133" s="6">
        <v>113</v>
      </c>
      <c r="N133" s="6">
        <v>38</v>
      </c>
      <c r="O133" s="6">
        <v>84</v>
      </c>
      <c r="P133" s="6">
        <v>85</v>
      </c>
      <c r="Q133" s="6">
        <v>39</v>
      </c>
      <c r="R133" s="6">
        <v>50</v>
      </c>
      <c r="S133" s="6">
        <v>126</v>
      </c>
      <c r="T133" s="6">
        <v>79</v>
      </c>
      <c r="U133" s="6">
        <v>83</v>
      </c>
      <c r="V133" s="6">
        <v>56</v>
      </c>
      <c r="W133" s="6">
        <v>135</v>
      </c>
      <c r="X133" s="6">
        <v>80</v>
      </c>
      <c r="Y133" s="6">
        <v>93</v>
      </c>
      <c r="Z133" s="6">
        <v>44</v>
      </c>
      <c r="AA133" s="6">
        <v>352</v>
      </c>
      <c r="AB133" s="6">
        <v>61</v>
      </c>
      <c r="AC133" s="6">
        <v>123</v>
      </c>
      <c r="AD133" s="6">
        <v>20</v>
      </c>
      <c r="AE133" s="6">
        <v>82</v>
      </c>
    </row>
    <row r="134" spans="1:31" ht="30.75" thickBot="1" x14ac:dyDescent="0.3">
      <c r="A134" s="3">
        <v>2023</v>
      </c>
      <c r="B134" s="3">
        <v>10</v>
      </c>
      <c r="C134" s="3" t="s">
        <v>90</v>
      </c>
      <c r="D134" s="4" t="s">
        <v>32</v>
      </c>
      <c r="E134" s="3">
        <v>97</v>
      </c>
      <c r="F134" s="5">
        <v>0.57999999999999996</v>
      </c>
      <c r="G134" s="6">
        <v>121</v>
      </c>
      <c r="H134" s="6">
        <v>53</v>
      </c>
      <c r="I134" s="6">
        <v>65</v>
      </c>
      <c r="J134" s="6">
        <v>51</v>
      </c>
      <c r="K134" s="6">
        <v>69</v>
      </c>
      <c r="L134" s="6">
        <v>86</v>
      </c>
      <c r="M134" s="6">
        <v>45</v>
      </c>
      <c r="N134" s="6">
        <v>88</v>
      </c>
      <c r="O134" s="6">
        <v>49</v>
      </c>
      <c r="P134" s="6">
        <v>104</v>
      </c>
      <c r="Q134" s="6">
        <v>92</v>
      </c>
      <c r="R134" s="6">
        <v>65</v>
      </c>
      <c r="S134" s="6">
        <v>121</v>
      </c>
      <c r="T134" s="6">
        <v>130</v>
      </c>
      <c r="U134" s="6">
        <v>113</v>
      </c>
      <c r="V134" s="6">
        <v>276</v>
      </c>
      <c r="W134" s="6">
        <v>458</v>
      </c>
      <c r="X134" s="6">
        <v>300</v>
      </c>
      <c r="Y134" s="6">
        <v>128</v>
      </c>
      <c r="Z134" s="6">
        <v>291</v>
      </c>
      <c r="AA134" s="6">
        <v>20</v>
      </c>
      <c r="AB134" s="6">
        <v>99</v>
      </c>
      <c r="AC134" s="6">
        <v>22</v>
      </c>
      <c r="AD134" s="6">
        <v>212</v>
      </c>
      <c r="AE134" s="6">
        <v>135</v>
      </c>
    </row>
    <row r="135" spans="1:31" ht="30.75" thickBot="1" x14ac:dyDescent="0.3">
      <c r="A135" s="3">
        <v>2023</v>
      </c>
      <c r="B135" s="3">
        <v>10</v>
      </c>
      <c r="C135" s="3" t="s">
        <v>90</v>
      </c>
      <c r="D135" s="4" t="s">
        <v>35</v>
      </c>
      <c r="E135" s="3">
        <v>95</v>
      </c>
      <c r="F135" s="5">
        <v>0.53</v>
      </c>
      <c r="G135" s="6">
        <v>119</v>
      </c>
      <c r="H135" s="6">
        <v>23</v>
      </c>
      <c r="I135" s="6">
        <v>57</v>
      </c>
      <c r="J135" s="6">
        <v>101</v>
      </c>
      <c r="K135" s="6">
        <v>85</v>
      </c>
      <c r="L135" s="6">
        <v>47</v>
      </c>
      <c r="M135" s="6">
        <v>103</v>
      </c>
      <c r="N135" s="6">
        <v>116</v>
      </c>
      <c r="O135" s="6">
        <v>51</v>
      </c>
      <c r="P135" s="6">
        <v>92</v>
      </c>
      <c r="Q135" s="6">
        <v>62</v>
      </c>
      <c r="R135" s="6">
        <v>57</v>
      </c>
      <c r="S135" s="6">
        <v>71</v>
      </c>
      <c r="T135" s="6">
        <v>54</v>
      </c>
      <c r="U135" s="6">
        <v>93</v>
      </c>
      <c r="V135" s="6">
        <v>174</v>
      </c>
      <c r="W135" s="6">
        <v>12</v>
      </c>
      <c r="X135" s="6">
        <v>308</v>
      </c>
      <c r="Y135" s="6">
        <v>338</v>
      </c>
      <c r="Z135" s="6">
        <v>46</v>
      </c>
      <c r="AA135" s="6">
        <v>125</v>
      </c>
      <c r="AB135" s="6">
        <v>131</v>
      </c>
      <c r="AC135" s="6">
        <v>79</v>
      </c>
      <c r="AD135" s="6">
        <v>32</v>
      </c>
      <c r="AE135" s="6">
        <v>8</v>
      </c>
    </row>
    <row r="136" spans="1:31" ht="30.75" thickBot="1" x14ac:dyDescent="0.3">
      <c r="A136" s="3">
        <v>2023</v>
      </c>
      <c r="B136" s="3">
        <v>10</v>
      </c>
      <c r="C136" s="3" t="s">
        <v>90</v>
      </c>
      <c r="D136" s="4" t="s">
        <v>38</v>
      </c>
      <c r="E136" s="3">
        <v>106</v>
      </c>
      <c r="F136" s="5">
        <v>0.77</v>
      </c>
      <c r="G136" s="6">
        <v>132</v>
      </c>
      <c r="H136" s="6">
        <v>14</v>
      </c>
      <c r="I136" s="6">
        <v>64</v>
      </c>
      <c r="J136" s="6">
        <v>70</v>
      </c>
      <c r="K136" s="6">
        <v>76</v>
      </c>
      <c r="L136" s="6">
        <v>26</v>
      </c>
      <c r="M136" s="6">
        <v>87</v>
      </c>
      <c r="N136" s="6">
        <v>108</v>
      </c>
      <c r="O136" s="6">
        <v>101</v>
      </c>
      <c r="P136" s="6">
        <v>66</v>
      </c>
      <c r="Q136" s="6">
        <v>53</v>
      </c>
      <c r="R136" s="6">
        <v>102</v>
      </c>
      <c r="S136" s="6">
        <v>70</v>
      </c>
      <c r="T136" s="6">
        <v>47</v>
      </c>
      <c r="U136" s="6">
        <v>55</v>
      </c>
      <c r="V136" s="6">
        <v>61</v>
      </c>
      <c r="W136" s="6">
        <v>88</v>
      </c>
      <c r="X136" s="6">
        <v>55</v>
      </c>
      <c r="Y136" s="6">
        <v>242</v>
      </c>
      <c r="Z136" s="6">
        <v>127</v>
      </c>
      <c r="AA136" s="6">
        <v>220</v>
      </c>
      <c r="AB136" s="6">
        <v>133</v>
      </c>
      <c r="AC136" s="6">
        <v>96</v>
      </c>
      <c r="AD136" s="6">
        <v>61</v>
      </c>
      <c r="AE136" s="6">
        <v>67</v>
      </c>
    </row>
    <row r="137" spans="1:31" ht="30.75" thickBot="1" x14ac:dyDescent="0.3">
      <c r="A137" s="3">
        <v>2023</v>
      </c>
      <c r="B137" s="3">
        <v>10</v>
      </c>
      <c r="C137" s="3" t="s">
        <v>90</v>
      </c>
      <c r="D137" s="4" t="s">
        <v>40</v>
      </c>
      <c r="E137" s="3">
        <v>110</v>
      </c>
      <c r="F137" s="5">
        <v>0.55000000000000004</v>
      </c>
      <c r="G137" s="6">
        <v>138</v>
      </c>
      <c r="H137" s="6">
        <v>12</v>
      </c>
      <c r="I137" s="6">
        <v>38</v>
      </c>
      <c r="J137" s="6">
        <v>42</v>
      </c>
      <c r="K137" s="6">
        <v>107</v>
      </c>
      <c r="L137" s="6">
        <v>65</v>
      </c>
      <c r="M137" s="6">
        <v>71</v>
      </c>
      <c r="N137" s="6">
        <v>62</v>
      </c>
      <c r="O137" s="6">
        <v>46</v>
      </c>
      <c r="P137" s="6">
        <v>133</v>
      </c>
      <c r="Q137" s="6">
        <v>33</v>
      </c>
      <c r="R137" s="6">
        <v>107</v>
      </c>
      <c r="S137" s="6">
        <v>47</v>
      </c>
      <c r="T137" s="6">
        <v>84</v>
      </c>
      <c r="U137" s="6">
        <v>101</v>
      </c>
      <c r="V137" s="6">
        <v>165</v>
      </c>
      <c r="W137" s="6">
        <v>18</v>
      </c>
      <c r="X137" s="6">
        <v>156</v>
      </c>
      <c r="Y137" s="6">
        <v>117</v>
      </c>
      <c r="Z137" s="6">
        <v>67</v>
      </c>
      <c r="AA137" s="6">
        <v>73</v>
      </c>
      <c r="AB137" s="6">
        <v>165</v>
      </c>
      <c r="AC137" s="6">
        <v>167</v>
      </c>
      <c r="AD137" s="6">
        <v>146</v>
      </c>
      <c r="AE137" s="6">
        <v>215</v>
      </c>
    </row>
    <row r="138" spans="1:31" ht="30.75" thickBot="1" x14ac:dyDescent="0.3">
      <c r="A138" s="3">
        <v>2023</v>
      </c>
      <c r="B138" s="3">
        <v>11</v>
      </c>
      <c r="C138" s="3" t="s">
        <v>93</v>
      </c>
      <c r="D138" s="4" t="s">
        <v>32</v>
      </c>
      <c r="E138" s="3">
        <v>33</v>
      </c>
      <c r="F138" s="5">
        <v>0.68</v>
      </c>
      <c r="G138" s="6">
        <v>41</v>
      </c>
      <c r="H138" s="6">
        <v>47</v>
      </c>
      <c r="I138" s="6">
        <v>68</v>
      </c>
      <c r="J138" s="6">
        <v>98</v>
      </c>
      <c r="K138" s="6">
        <v>112</v>
      </c>
      <c r="L138" s="6">
        <v>114</v>
      </c>
      <c r="M138" s="6">
        <v>129</v>
      </c>
      <c r="N138" s="6">
        <v>39</v>
      </c>
      <c r="O138" s="6">
        <v>61</v>
      </c>
      <c r="P138" s="6">
        <v>102</v>
      </c>
      <c r="Q138" s="6">
        <v>65</v>
      </c>
      <c r="R138" s="6">
        <v>50</v>
      </c>
      <c r="S138" s="6">
        <v>68</v>
      </c>
      <c r="T138" s="6">
        <v>47</v>
      </c>
      <c r="U138" s="6">
        <v>112</v>
      </c>
      <c r="V138" s="6">
        <v>132</v>
      </c>
      <c r="W138" s="6">
        <v>188</v>
      </c>
      <c r="X138" s="6">
        <v>43</v>
      </c>
      <c r="Y138" s="6">
        <v>82</v>
      </c>
      <c r="Z138" s="6">
        <v>281</v>
      </c>
      <c r="AA138" s="6">
        <v>87</v>
      </c>
      <c r="AB138" s="6">
        <v>145</v>
      </c>
      <c r="AC138" s="6">
        <v>275</v>
      </c>
      <c r="AD138" s="6">
        <v>56</v>
      </c>
      <c r="AE138" s="6">
        <v>284</v>
      </c>
    </row>
    <row r="139" spans="1:31" ht="30.75" thickBot="1" x14ac:dyDescent="0.3">
      <c r="A139" s="3">
        <v>2023</v>
      </c>
      <c r="B139" s="3">
        <v>11</v>
      </c>
      <c r="C139" s="3" t="s">
        <v>93</v>
      </c>
      <c r="D139" s="4" t="s">
        <v>35</v>
      </c>
      <c r="E139" s="3">
        <v>46</v>
      </c>
      <c r="F139" s="5">
        <v>0.45</v>
      </c>
      <c r="G139" s="6">
        <v>58</v>
      </c>
      <c r="H139" s="6">
        <v>27</v>
      </c>
      <c r="I139" s="6">
        <v>42</v>
      </c>
      <c r="J139" s="6">
        <v>65</v>
      </c>
      <c r="K139" s="6">
        <v>100</v>
      </c>
      <c r="L139" s="6">
        <v>56</v>
      </c>
      <c r="M139" s="6">
        <v>132</v>
      </c>
      <c r="N139" s="6">
        <v>87</v>
      </c>
      <c r="O139" s="6">
        <v>79</v>
      </c>
      <c r="P139" s="6">
        <v>68</v>
      </c>
      <c r="Q139" s="6">
        <v>32</v>
      </c>
      <c r="R139" s="6">
        <v>53</v>
      </c>
      <c r="S139" s="6">
        <v>91</v>
      </c>
      <c r="T139" s="6">
        <v>31</v>
      </c>
      <c r="U139" s="6">
        <v>66</v>
      </c>
      <c r="V139" s="6">
        <v>24</v>
      </c>
      <c r="W139" s="6">
        <v>65</v>
      </c>
      <c r="X139" s="6">
        <v>622</v>
      </c>
      <c r="Y139" s="6">
        <v>60</v>
      </c>
      <c r="Z139" s="6">
        <v>28</v>
      </c>
      <c r="AA139" s="6">
        <v>79</v>
      </c>
      <c r="AB139" s="6">
        <v>83</v>
      </c>
      <c r="AC139" s="6">
        <v>100</v>
      </c>
      <c r="AD139" s="6">
        <v>53</v>
      </c>
      <c r="AE139" s="6">
        <v>38</v>
      </c>
    </row>
    <row r="140" spans="1:31" ht="30.75" thickBot="1" x14ac:dyDescent="0.3">
      <c r="A140" s="3">
        <v>2023</v>
      </c>
      <c r="B140" s="3">
        <v>11</v>
      </c>
      <c r="C140" s="3" t="s">
        <v>93</v>
      </c>
      <c r="D140" s="4" t="s">
        <v>38</v>
      </c>
      <c r="E140" s="3">
        <v>54</v>
      </c>
      <c r="F140" s="5">
        <v>0.45</v>
      </c>
      <c r="G140" s="6">
        <v>68</v>
      </c>
      <c r="H140" s="6">
        <v>48</v>
      </c>
      <c r="I140" s="6">
        <v>91</v>
      </c>
      <c r="J140" s="6">
        <v>115</v>
      </c>
      <c r="K140" s="6">
        <v>54</v>
      </c>
      <c r="L140" s="6">
        <v>52</v>
      </c>
      <c r="M140" s="6">
        <v>113</v>
      </c>
      <c r="N140" s="6">
        <v>33</v>
      </c>
      <c r="O140" s="6">
        <v>96</v>
      </c>
      <c r="P140" s="6">
        <v>37</v>
      </c>
      <c r="Q140" s="6">
        <v>61</v>
      </c>
      <c r="R140" s="6">
        <v>111</v>
      </c>
      <c r="S140" s="6">
        <v>101</v>
      </c>
      <c r="T140" s="6">
        <v>125</v>
      </c>
      <c r="U140" s="6">
        <v>45</v>
      </c>
      <c r="V140" s="6">
        <v>132</v>
      </c>
      <c r="W140" s="6">
        <v>60</v>
      </c>
      <c r="X140" s="6">
        <v>180</v>
      </c>
      <c r="Y140" s="6">
        <v>162</v>
      </c>
      <c r="Z140" s="6">
        <v>198</v>
      </c>
      <c r="AA140" s="6">
        <v>29</v>
      </c>
      <c r="AB140" s="6">
        <v>53</v>
      </c>
      <c r="AC140" s="6">
        <v>31</v>
      </c>
      <c r="AD140" s="6">
        <v>221</v>
      </c>
      <c r="AE140" s="6">
        <v>160</v>
      </c>
    </row>
    <row r="141" spans="1:31" ht="30.75" thickBot="1" x14ac:dyDescent="0.3">
      <c r="A141" s="3">
        <v>2023</v>
      </c>
      <c r="B141" s="3">
        <v>11</v>
      </c>
      <c r="C141" s="3" t="s">
        <v>93</v>
      </c>
      <c r="D141" s="4" t="s">
        <v>40</v>
      </c>
      <c r="E141" s="3">
        <v>81</v>
      </c>
      <c r="F141" s="5">
        <v>0.46</v>
      </c>
      <c r="G141" s="6">
        <v>101</v>
      </c>
      <c r="H141" s="6">
        <v>49</v>
      </c>
      <c r="I141" s="6">
        <v>125</v>
      </c>
      <c r="J141" s="6">
        <v>82</v>
      </c>
      <c r="K141" s="6">
        <v>46</v>
      </c>
      <c r="L141" s="6">
        <v>104</v>
      </c>
      <c r="M141" s="6">
        <v>73</v>
      </c>
      <c r="N141" s="6">
        <v>53</v>
      </c>
      <c r="O141" s="6">
        <v>71</v>
      </c>
      <c r="P141" s="6">
        <v>76</v>
      </c>
      <c r="Q141" s="6">
        <v>132</v>
      </c>
      <c r="R141" s="6">
        <v>123</v>
      </c>
      <c r="S141" s="6">
        <v>49</v>
      </c>
      <c r="T141" s="6">
        <v>46</v>
      </c>
      <c r="U141" s="6">
        <v>80</v>
      </c>
      <c r="V141" s="6">
        <v>68</v>
      </c>
      <c r="W141" s="6">
        <v>113</v>
      </c>
      <c r="X141" s="6">
        <v>750</v>
      </c>
      <c r="Y141" s="6">
        <v>117</v>
      </c>
      <c r="Z141" s="6">
        <v>46</v>
      </c>
      <c r="AA141" s="6">
        <v>62</v>
      </c>
      <c r="AB141" s="6">
        <v>96</v>
      </c>
      <c r="AC141" s="6">
        <v>10</v>
      </c>
      <c r="AD141" s="6">
        <v>62</v>
      </c>
      <c r="AE141" s="6">
        <v>12</v>
      </c>
    </row>
    <row r="142" spans="1:31" ht="30.75" thickBot="1" x14ac:dyDescent="0.3">
      <c r="A142" s="3">
        <v>2023</v>
      </c>
      <c r="B142" s="3">
        <v>12</v>
      </c>
      <c r="C142" s="3" t="s">
        <v>100</v>
      </c>
      <c r="D142" s="4" t="s">
        <v>32</v>
      </c>
      <c r="E142" s="3">
        <v>46</v>
      </c>
      <c r="F142" s="5">
        <v>0.68</v>
      </c>
      <c r="G142" s="6">
        <v>58</v>
      </c>
      <c r="H142" s="6">
        <v>37</v>
      </c>
      <c r="I142" s="6">
        <v>76</v>
      </c>
      <c r="J142" s="6">
        <v>93</v>
      </c>
      <c r="K142" s="6">
        <v>146</v>
      </c>
      <c r="L142" s="6">
        <v>105</v>
      </c>
      <c r="M142" s="6">
        <v>72</v>
      </c>
      <c r="N142" s="6">
        <v>63</v>
      </c>
      <c r="O142" s="6">
        <v>66</v>
      </c>
      <c r="P142" s="6">
        <v>121</v>
      </c>
      <c r="Q142" s="6">
        <v>113</v>
      </c>
      <c r="R142" s="6">
        <v>37</v>
      </c>
      <c r="S142" s="6">
        <v>65</v>
      </c>
      <c r="T142" s="6">
        <v>90</v>
      </c>
      <c r="U142" s="6">
        <v>29</v>
      </c>
      <c r="V142" s="6">
        <v>414</v>
      </c>
      <c r="W142" s="6">
        <v>69</v>
      </c>
      <c r="X142" s="6">
        <v>105</v>
      </c>
      <c r="Y142" s="6">
        <v>132</v>
      </c>
      <c r="Z142" s="6">
        <v>102</v>
      </c>
      <c r="AA142" s="6">
        <v>130</v>
      </c>
      <c r="AB142" s="6">
        <v>200</v>
      </c>
      <c r="AC142" s="6">
        <v>30</v>
      </c>
      <c r="AD142" s="6">
        <v>165</v>
      </c>
      <c r="AE142" s="6">
        <v>56</v>
      </c>
    </row>
    <row r="143" spans="1:31" ht="30.75" thickBot="1" x14ac:dyDescent="0.3">
      <c r="A143" s="3">
        <v>2023</v>
      </c>
      <c r="B143" s="3">
        <v>12</v>
      </c>
      <c r="C143" s="3" t="s">
        <v>100</v>
      </c>
      <c r="D143" s="4" t="s">
        <v>35</v>
      </c>
      <c r="E143" s="3">
        <v>102</v>
      </c>
      <c r="F143" s="5">
        <v>0.52</v>
      </c>
      <c r="G143" s="6">
        <v>128</v>
      </c>
      <c r="H143" s="6">
        <v>17</v>
      </c>
      <c r="I143" s="6">
        <v>62</v>
      </c>
      <c r="J143" s="6">
        <v>69</v>
      </c>
      <c r="K143" s="6">
        <v>84</v>
      </c>
      <c r="L143" s="6">
        <v>49</v>
      </c>
      <c r="M143" s="6">
        <v>73</v>
      </c>
      <c r="N143" s="6">
        <v>105</v>
      </c>
      <c r="O143" s="6">
        <v>53</v>
      </c>
      <c r="P143" s="6">
        <v>80</v>
      </c>
      <c r="Q143" s="6">
        <v>55</v>
      </c>
      <c r="R143" s="6">
        <v>96</v>
      </c>
      <c r="S143" s="6">
        <v>43</v>
      </c>
      <c r="T143" s="6">
        <v>47</v>
      </c>
      <c r="U143" s="6">
        <v>119</v>
      </c>
      <c r="V143" s="6">
        <v>169</v>
      </c>
      <c r="W143" s="6">
        <v>37</v>
      </c>
      <c r="X143" s="6">
        <v>42</v>
      </c>
      <c r="Y143" s="6">
        <v>492</v>
      </c>
      <c r="Z143" s="6">
        <v>174</v>
      </c>
      <c r="AA143" s="6">
        <v>5</v>
      </c>
      <c r="AB143" s="6">
        <v>125</v>
      </c>
      <c r="AC143" s="6">
        <v>5</v>
      </c>
      <c r="AD143" s="6">
        <v>210</v>
      </c>
      <c r="AE143" s="6">
        <v>224</v>
      </c>
    </row>
    <row r="144" spans="1:31" ht="30.75" thickBot="1" x14ac:dyDescent="0.3">
      <c r="A144" s="3">
        <v>2023</v>
      </c>
      <c r="B144" s="3">
        <v>12</v>
      </c>
      <c r="C144" s="3" t="s">
        <v>100</v>
      </c>
      <c r="D144" s="4" t="s">
        <v>38</v>
      </c>
      <c r="E144" s="3">
        <v>89</v>
      </c>
      <c r="F144" s="5">
        <v>0.68</v>
      </c>
      <c r="G144" s="6">
        <v>111</v>
      </c>
      <c r="H144" s="6">
        <v>44</v>
      </c>
      <c r="I144" s="6">
        <v>63</v>
      </c>
      <c r="J144" s="6">
        <v>62</v>
      </c>
      <c r="K144" s="6">
        <v>89</v>
      </c>
      <c r="L144" s="6">
        <v>90</v>
      </c>
      <c r="M144" s="6">
        <v>60</v>
      </c>
      <c r="N144" s="6">
        <v>105</v>
      </c>
      <c r="O144" s="6">
        <v>91</v>
      </c>
      <c r="P144" s="6">
        <v>31</v>
      </c>
      <c r="Q144" s="6">
        <v>101</v>
      </c>
      <c r="R144" s="6">
        <v>112</v>
      </c>
      <c r="S144" s="6">
        <v>47</v>
      </c>
      <c r="T144" s="6">
        <v>104</v>
      </c>
      <c r="U144" s="6">
        <v>167</v>
      </c>
      <c r="V144" s="6">
        <v>187</v>
      </c>
      <c r="W144" s="6">
        <v>30</v>
      </c>
      <c r="X144" s="6">
        <v>209</v>
      </c>
      <c r="Y144" s="6">
        <v>185</v>
      </c>
      <c r="Z144" s="6">
        <v>70</v>
      </c>
      <c r="AA144" s="6">
        <v>146</v>
      </c>
      <c r="AB144" s="6">
        <v>99</v>
      </c>
      <c r="AC144" s="6">
        <v>226</v>
      </c>
      <c r="AD144" s="6">
        <v>28</v>
      </c>
      <c r="AE144" s="6">
        <v>139</v>
      </c>
    </row>
    <row r="145" spans="1:31" ht="30.75" thickBot="1" x14ac:dyDescent="0.3">
      <c r="A145" s="3">
        <v>2023</v>
      </c>
      <c r="B145" s="3">
        <v>12</v>
      </c>
      <c r="C145" s="3" t="s">
        <v>100</v>
      </c>
      <c r="D145" s="4" t="s">
        <v>40</v>
      </c>
      <c r="E145" s="3">
        <v>60</v>
      </c>
      <c r="F145" s="5">
        <v>0.5</v>
      </c>
      <c r="G145" s="6">
        <v>75</v>
      </c>
      <c r="H145" s="6">
        <v>55</v>
      </c>
      <c r="I145" s="6">
        <v>51</v>
      </c>
      <c r="J145" s="6">
        <v>44</v>
      </c>
      <c r="K145" s="6">
        <v>116</v>
      </c>
      <c r="L145" s="6">
        <v>84</v>
      </c>
      <c r="M145" s="6">
        <v>111</v>
      </c>
      <c r="N145" s="6">
        <v>108</v>
      </c>
      <c r="O145" s="6">
        <v>91</v>
      </c>
      <c r="P145" s="6">
        <v>89</v>
      </c>
      <c r="Q145" s="6">
        <v>72</v>
      </c>
      <c r="R145" s="6">
        <v>90</v>
      </c>
      <c r="S145" s="6">
        <v>110</v>
      </c>
      <c r="T145" s="6">
        <v>85</v>
      </c>
      <c r="U145" s="6">
        <v>107</v>
      </c>
      <c r="V145" s="6">
        <v>108</v>
      </c>
      <c r="W145" s="6">
        <v>80</v>
      </c>
      <c r="X145" s="6">
        <v>256</v>
      </c>
      <c r="Y145" s="6">
        <v>138</v>
      </c>
      <c r="Z145" s="6">
        <v>106</v>
      </c>
      <c r="AA145" s="6">
        <v>169</v>
      </c>
      <c r="AB145" s="6">
        <v>303</v>
      </c>
      <c r="AC145" s="6">
        <v>7</v>
      </c>
      <c r="AD145" s="6">
        <v>310</v>
      </c>
      <c r="AE145" s="6">
        <v>341</v>
      </c>
    </row>
    <row r="146" spans="1:31" ht="30.75" thickBot="1" x14ac:dyDescent="0.3">
      <c r="A146" s="3">
        <v>2022</v>
      </c>
      <c r="B146" s="3">
        <v>1</v>
      </c>
      <c r="C146" s="3" t="s">
        <v>31</v>
      </c>
      <c r="D146" s="4" t="s">
        <v>32</v>
      </c>
      <c r="E146" s="3">
        <v>21</v>
      </c>
      <c r="F146" s="5">
        <v>0.55000000000000004</v>
      </c>
      <c r="G146" s="6">
        <v>99</v>
      </c>
      <c r="H146" s="6">
        <v>16</v>
      </c>
      <c r="I146" s="6">
        <v>74</v>
      </c>
      <c r="J146" s="6">
        <v>79</v>
      </c>
      <c r="K146" s="6">
        <v>54</v>
      </c>
      <c r="L146" s="6">
        <v>112</v>
      </c>
      <c r="M146" s="6">
        <v>45</v>
      </c>
      <c r="N146" s="6">
        <v>52</v>
      </c>
      <c r="O146" s="6">
        <v>65</v>
      </c>
      <c r="P146" s="6">
        <v>51</v>
      </c>
      <c r="Q146" s="6">
        <v>79</v>
      </c>
      <c r="R146" s="6">
        <v>98</v>
      </c>
      <c r="S146" s="6">
        <v>47</v>
      </c>
      <c r="T146" s="6">
        <v>32</v>
      </c>
      <c r="U146" s="6">
        <v>62</v>
      </c>
      <c r="V146" s="6">
        <v>69</v>
      </c>
      <c r="W146" s="6">
        <v>182</v>
      </c>
      <c r="X146" s="6">
        <v>885</v>
      </c>
      <c r="Y146" s="6">
        <v>60</v>
      </c>
      <c r="Z146" s="6">
        <v>83</v>
      </c>
      <c r="AA146" s="6">
        <v>732</v>
      </c>
      <c r="AB146" s="6">
        <v>50</v>
      </c>
      <c r="AC146" s="6">
        <v>18</v>
      </c>
      <c r="AD146" s="6">
        <v>55</v>
      </c>
      <c r="AE146" s="6">
        <v>20</v>
      </c>
    </row>
    <row r="147" spans="1:31" ht="30.75" thickBot="1" x14ac:dyDescent="0.3">
      <c r="A147" s="3">
        <v>2022</v>
      </c>
      <c r="B147" s="3">
        <v>1</v>
      </c>
      <c r="C147" s="3" t="s">
        <v>31</v>
      </c>
      <c r="D147" s="4" t="s">
        <v>35</v>
      </c>
      <c r="E147" s="3">
        <v>46</v>
      </c>
      <c r="F147" s="5">
        <v>0.31</v>
      </c>
      <c r="G147" s="6">
        <v>53</v>
      </c>
      <c r="H147" s="6">
        <v>16</v>
      </c>
      <c r="I147" s="6">
        <v>73</v>
      </c>
      <c r="J147" s="6">
        <v>66</v>
      </c>
      <c r="K147" s="6">
        <v>35</v>
      </c>
      <c r="L147" s="6">
        <v>122</v>
      </c>
      <c r="M147" s="6">
        <v>96</v>
      </c>
      <c r="N147" s="6">
        <v>49</v>
      </c>
      <c r="O147" s="6">
        <v>94</v>
      </c>
      <c r="P147" s="6">
        <v>81</v>
      </c>
      <c r="Q147" s="6">
        <v>62</v>
      </c>
      <c r="R147" s="6">
        <v>77</v>
      </c>
      <c r="S147" s="6">
        <v>124</v>
      </c>
      <c r="T147" s="6">
        <v>85</v>
      </c>
      <c r="U147" s="6">
        <v>37</v>
      </c>
      <c r="V147" s="6">
        <v>306</v>
      </c>
      <c r="W147" s="6">
        <v>62</v>
      </c>
      <c r="X147" s="6">
        <v>144</v>
      </c>
      <c r="Y147" s="6">
        <v>196</v>
      </c>
      <c r="Z147" s="6">
        <v>148</v>
      </c>
      <c r="AA147" s="6">
        <v>113</v>
      </c>
      <c r="AB147" s="6">
        <v>48</v>
      </c>
      <c r="AC147" s="6">
        <v>44</v>
      </c>
      <c r="AD147" s="6">
        <v>240</v>
      </c>
      <c r="AE147" s="6">
        <v>98</v>
      </c>
    </row>
    <row r="148" spans="1:31" ht="30.75" thickBot="1" x14ac:dyDescent="0.3">
      <c r="A148" s="3">
        <v>2022</v>
      </c>
      <c r="B148" s="3">
        <v>1</v>
      </c>
      <c r="C148" s="3" t="s">
        <v>31</v>
      </c>
      <c r="D148" s="4" t="s">
        <v>38</v>
      </c>
      <c r="E148" s="3">
        <v>37</v>
      </c>
      <c r="F148" s="5">
        <v>0.72</v>
      </c>
      <c r="G148" s="6">
        <v>77</v>
      </c>
      <c r="H148" s="6">
        <v>33</v>
      </c>
      <c r="I148" s="6">
        <v>94</v>
      </c>
      <c r="J148" s="6">
        <v>106</v>
      </c>
      <c r="K148" s="6">
        <v>136</v>
      </c>
      <c r="L148" s="6">
        <v>77</v>
      </c>
      <c r="M148" s="6">
        <v>63</v>
      </c>
      <c r="N148" s="6">
        <v>100</v>
      </c>
      <c r="O148" s="6">
        <v>65</v>
      </c>
      <c r="P148" s="6">
        <v>91</v>
      </c>
      <c r="Q148" s="6">
        <v>66</v>
      </c>
      <c r="R148" s="6">
        <v>69</v>
      </c>
      <c r="S148" s="6">
        <v>91</v>
      </c>
      <c r="T148" s="6">
        <v>76</v>
      </c>
      <c r="U148" s="6">
        <v>79</v>
      </c>
      <c r="V148" s="6">
        <v>224</v>
      </c>
      <c r="W148" s="6">
        <v>217</v>
      </c>
      <c r="X148" s="6">
        <v>20</v>
      </c>
      <c r="Y148" s="6">
        <v>485</v>
      </c>
      <c r="Z148" s="6">
        <v>166</v>
      </c>
      <c r="AA148" s="6">
        <v>54</v>
      </c>
      <c r="AB148" s="6">
        <v>78</v>
      </c>
      <c r="AC148" s="6">
        <v>232</v>
      </c>
      <c r="AD148" s="6">
        <v>172</v>
      </c>
      <c r="AE148" s="6">
        <v>165</v>
      </c>
    </row>
    <row r="149" spans="1:31" ht="30.75" thickBot="1" x14ac:dyDescent="0.3">
      <c r="A149" s="3">
        <v>2022</v>
      </c>
      <c r="B149" s="3">
        <v>1</v>
      </c>
      <c r="C149" s="3" t="s">
        <v>31</v>
      </c>
      <c r="D149" s="4" t="s">
        <v>40</v>
      </c>
      <c r="E149" s="3">
        <v>31</v>
      </c>
      <c r="F149" s="5">
        <v>0.56999999999999995</v>
      </c>
      <c r="G149" s="6">
        <v>77</v>
      </c>
      <c r="H149" s="6">
        <v>25</v>
      </c>
      <c r="I149" s="6">
        <v>82</v>
      </c>
      <c r="J149" s="6">
        <v>144</v>
      </c>
      <c r="K149" s="6">
        <v>110</v>
      </c>
      <c r="L149" s="6">
        <v>83</v>
      </c>
      <c r="M149" s="6">
        <v>83</v>
      </c>
      <c r="N149" s="6">
        <v>101</v>
      </c>
      <c r="O149" s="6">
        <v>85</v>
      </c>
      <c r="P149" s="6">
        <v>57</v>
      </c>
      <c r="Q149" s="6">
        <v>56</v>
      </c>
      <c r="R149" s="6">
        <v>86</v>
      </c>
      <c r="S149" s="6">
        <v>45</v>
      </c>
      <c r="T149" s="6">
        <v>95</v>
      </c>
      <c r="U149" s="6">
        <v>63</v>
      </c>
      <c r="V149" s="6">
        <v>130</v>
      </c>
      <c r="W149" s="6">
        <v>355</v>
      </c>
      <c r="X149" s="6">
        <v>670</v>
      </c>
      <c r="Y149" s="6">
        <v>45</v>
      </c>
      <c r="Z149" s="6">
        <v>180</v>
      </c>
      <c r="AA149" s="6">
        <v>74</v>
      </c>
      <c r="AB149" s="6">
        <v>92</v>
      </c>
      <c r="AC149" s="6">
        <v>228</v>
      </c>
      <c r="AD149" s="6">
        <v>93</v>
      </c>
      <c r="AE149" s="6">
        <v>138</v>
      </c>
    </row>
    <row r="150" spans="1:31" ht="30.75" thickBot="1" x14ac:dyDescent="0.3">
      <c r="A150" s="3">
        <v>2022</v>
      </c>
      <c r="B150" s="3">
        <v>2</v>
      </c>
      <c r="C150" s="3" t="s">
        <v>42</v>
      </c>
      <c r="D150" s="4" t="s">
        <v>32</v>
      </c>
      <c r="E150" s="3">
        <v>49</v>
      </c>
      <c r="F150" s="5">
        <v>0.39</v>
      </c>
      <c r="G150" s="6">
        <v>23</v>
      </c>
      <c r="H150" s="6">
        <v>26</v>
      </c>
      <c r="I150" s="6">
        <v>78</v>
      </c>
      <c r="J150" s="6">
        <v>87</v>
      </c>
      <c r="K150" s="6">
        <v>60</v>
      </c>
      <c r="L150" s="6">
        <v>70</v>
      </c>
      <c r="M150" s="6">
        <v>56</v>
      </c>
      <c r="N150" s="6">
        <v>72</v>
      </c>
      <c r="O150" s="6">
        <v>101</v>
      </c>
      <c r="P150" s="6">
        <v>64</v>
      </c>
      <c r="Q150" s="6">
        <v>127</v>
      </c>
      <c r="R150" s="6">
        <v>81</v>
      </c>
      <c r="S150" s="6">
        <v>91</v>
      </c>
      <c r="T150" s="6">
        <v>43</v>
      </c>
      <c r="U150" s="6">
        <v>113</v>
      </c>
      <c r="V150" s="6">
        <v>235</v>
      </c>
      <c r="W150" s="6">
        <v>61</v>
      </c>
      <c r="X150" s="6">
        <v>58</v>
      </c>
      <c r="Y150" s="6">
        <v>112</v>
      </c>
      <c r="Z150" s="6">
        <v>208</v>
      </c>
      <c r="AA150" s="6">
        <v>42</v>
      </c>
      <c r="AB150" s="6">
        <v>46</v>
      </c>
      <c r="AC150" s="6">
        <v>167</v>
      </c>
      <c r="AD150" s="6">
        <v>348</v>
      </c>
      <c r="AE150" s="6">
        <v>224</v>
      </c>
    </row>
    <row r="151" spans="1:31" ht="30.75" thickBot="1" x14ac:dyDescent="0.3">
      <c r="A151" s="3">
        <v>2022</v>
      </c>
      <c r="B151" s="3">
        <v>2</v>
      </c>
      <c r="C151" s="3" t="s">
        <v>42</v>
      </c>
      <c r="D151" s="4" t="s">
        <v>35</v>
      </c>
      <c r="E151" s="3">
        <v>22</v>
      </c>
      <c r="F151" s="5">
        <v>0.55000000000000004</v>
      </c>
      <c r="G151" s="6">
        <v>86</v>
      </c>
      <c r="H151" s="6">
        <v>32</v>
      </c>
      <c r="I151" s="6">
        <v>59</v>
      </c>
      <c r="J151" s="6">
        <v>83</v>
      </c>
      <c r="K151" s="6">
        <v>147</v>
      </c>
      <c r="L151" s="6">
        <v>107</v>
      </c>
      <c r="M151" s="6">
        <v>79</v>
      </c>
      <c r="N151" s="6">
        <v>39</v>
      </c>
      <c r="O151" s="6">
        <v>67</v>
      </c>
      <c r="P151" s="6">
        <v>104</v>
      </c>
      <c r="Q151" s="6">
        <v>86</v>
      </c>
      <c r="R151" s="6">
        <v>95</v>
      </c>
      <c r="S151" s="6">
        <v>92</v>
      </c>
      <c r="T151" s="6">
        <v>52</v>
      </c>
      <c r="U151" s="6">
        <v>32</v>
      </c>
      <c r="V151" s="6">
        <v>85</v>
      </c>
      <c r="W151" s="6">
        <v>86</v>
      </c>
      <c r="X151" s="6">
        <v>35</v>
      </c>
      <c r="Y151" s="6">
        <v>46</v>
      </c>
      <c r="Z151" s="6">
        <v>43</v>
      </c>
      <c r="AA151" s="6">
        <v>163</v>
      </c>
      <c r="AB151" s="6">
        <v>124</v>
      </c>
      <c r="AC151" s="6">
        <v>62</v>
      </c>
      <c r="AD151" s="6">
        <v>295</v>
      </c>
      <c r="AE151" s="6">
        <v>205</v>
      </c>
    </row>
    <row r="152" spans="1:31" ht="30.75" thickBot="1" x14ac:dyDescent="0.3">
      <c r="A152" s="3">
        <v>2022</v>
      </c>
      <c r="B152" s="3">
        <v>2</v>
      </c>
      <c r="C152" s="3" t="s">
        <v>42</v>
      </c>
      <c r="D152" s="4" t="s">
        <v>38</v>
      </c>
      <c r="E152" s="3">
        <v>44</v>
      </c>
      <c r="F152" s="5">
        <v>0.66</v>
      </c>
      <c r="G152" s="6">
        <v>70</v>
      </c>
      <c r="H152" s="6">
        <v>27</v>
      </c>
      <c r="I152" s="6">
        <v>62</v>
      </c>
      <c r="J152" s="6">
        <v>69</v>
      </c>
      <c r="K152" s="6">
        <v>39</v>
      </c>
      <c r="L152" s="6">
        <v>126</v>
      </c>
      <c r="M152" s="6">
        <v>50</v>
      </c>
      <c r="N152" s="6">
        <v>148</v>
      </c>
      <c r="O152" s="6">
        <v>111</v>
      </c>
      <c r="P152" s="6">
        <v>56</v>
      </c>
      <c r="Q152" s="6">
        <v>48</v>
      </c>
      <c r="R152" s="6">
        <v>89</v>
      </c>
      <c r="S152" s="6">
        <v>34</v>
      </c>
      <c r="T152" s="6">
        <v>28</v>
      </c>
      <c r="U152" s="6">
        <v>116</v>
      </c>
      <c r="V152" s="6">
        <v>24</v>
      </c>
      <c r="W152" s="6">
        <v>327</v>
      </c>
      <c r="X152" s="6">
        <v>172</v>
      </c>
      <c r="Y152" s="6">
        <v>266</v>
      </c>
      <c r="Z152" s="6">
        <v>189</v>
      </c>
      <c r="AA152" s="6">
        <v>505</v>
      </c>
      <c r="AB152" s="6">
        <v>204</v>
      </c>
      <c r="AC152" s="6">
        <v>12</v>
      </c>
      <c r="AD152" s="6">
        <v>339</v>
      </c>
      <c r="AE152" s="6">
        <v>27</v>
      </c>
    </row>
    <row r="153" spans="1:31" ht="30.75" thickBot="1" x14ac:dyDescent="0.3">
      <c r="A153" s="3">
        <v>2022</v>
      </c>
      <c r="B153" s="3">
        <v>2</v>
      </c>
      <c r="C153" s="3" t="s">
        <v>42</v>
      </c>
      <c r="D153" s="4" t="s">
        <v>40</v>
      </c>
      <c r="E153" s="3">
        <v>63</v>
      </c>
      <c r="F153" s="5">
        <v>0.43</v>
      </c>
      <c r="G153" s="6">
        <v>108</v>
      </c>
      <c r="H153" s="6">
        <v>31</v>
      </c>
      <c r="I153" s="6">
        <v>95</v>
      </c>
      <c r="J153" s="6">
        <v>74</v>
      </c>
      <c r="K153" s="6">
        <v>48</v>
      </c>
      <c r="L153" s="6">
        <v>38</v>
      </c>
      <c r="M153" s="6">
        <v>57</v>
      </c>
      <c r="N153" s="6">
        <v>86</v>
      </c>
      <c r="O153" s="6">
        <v>40</v>
      </c>
      <c r="P153" s="6">
        <v>72</v>
      </c>
      <c r="Q153" s="6">
        <v>105</v>
      </c>
      <c r="R153" s="6">
        <v>71</v>
      </c>
      <c r="S153" s="6">
        <v>131</v>
      </c>
      <c r="T153" s="6">
        <v>74</v>
      </c>
      <c r="U153" s="6">
        <v>75</v>
      </c>
      <c r="V153" s="6">
        <v>55</v>
      </c>
      <c r="W153" s="6">
        <v>897</v>
      </c>
      <c r="X153" s="6">
        <v>20</v>
      </c>
      <c r="Y153" s="6">
        <v>277</v>
      </c>
      <c r="Z153" s="6">
        <v>252</v>
      </c>
      <c r="AA153" s="6">
        <v>88</v>
      </c>
      <c r="AB153" s="6">
        <v>48</v>
      </c>
      <c r="AC153" s="6">
        <v>180</v>
      </c>
      <c r="AD153" s="6">
        <v>63</v>
      </c>
      <c r="AE153" s="6">
        <v>134</v>
      </c>
    </row>
    <row r="154" spans="1:31" ht="30.75" thickBot="1" x14ac:dyDescent="0.3">
      <c r="A154" s="3">
        <v>2022</v>
      </c>
      <c r="B154" s="3">
        <v>3</v>
      </c>
      <c r="C154" s="3" t="s">
        <v>50</v>
      </c>
      <c r="D154" s="4" t="s">
        <v>32</v>
      </c>
      <c r="E154" s="3">
        <v>23</v>
      </c>
      <c r="F154" s="5">
        <v>0.64</v>
      </c>
      <c r="G154" s="6">
        <v>24</v>
      </c>
      <c r="H154" s="6">
        <v>41</v>
      </c>
      <c r="I154" s="6">
        <v>49</v>
      </c>
      <c r="J154" s="6">
        <v>59</v>
      </c>
      <c r="K154" s="6">
        <v>45</v>
      </c>
      <c r="L154" s="6">
        <v>99</v>
      </c>
      <c r="M154" s="6">
        <v>52</v>
      </c>
      <c r="N154" s="6">
        <v>51</v>
      </c>
      <c r="O154" s="6">
        <v>127</v>
      </c>
      <c r="P154" s="6">
        <v>61</v>
      </c>
      <c r="Q154" s="6">
        <v>59</v>
      </c>
      <c r="R154" s="6">
        <v>53</v>
      </c>
      <c r="S154" s="6">
        <v>48</v>
      </c>
      <c r="T154" s="6">
        <v>68</v>
      </c>
      <c r="U154" s="6">
        <v>44</v>
      </c>
      <c r="V154" s="6">
        <v>42</v>
      </c>
      <c r="W154" s="6">
        <v>150</v>
      </c>
      <c r="X154" s="6">
        <v>88</v>
      </c>
      <c r="Y154" s="6">
        <v>472</v>
      </c>
      <c r="Z154" s="6">
        <v>310</v>
      </c>
      <c r="AA154" s="6">
        <v>89</v>
      </c>
      <c r="AB154" s="6">
        <v>192</v>
      </c>
      <c r="AC154" s="6">
        <v>76</v>
      </c>
      <c r="AD154" s="6">
        <v>68</v>
      </c>
      <c r="AE154" s="6">
        <v>341</v>
      </c>
    </row>
    <row r="155" spans="1:31" ht="30.75" thickBot="1" x14ac:dyDescent="0.3">
      <c r="A155" s="3">
        <v>2022</v>
      </c>
      <c r="B155" s="3">
        <v>3</v>
      </c>
      <c r="C155" s="3" t="s">
        <v>50</v>
      </c>
      <c r="D155" s="4" t="s">
        <v>35</v>
      </c>
      <c r="E155" s="3">
        <v>55</v>
      </c>
      <c r="F155" s="5">
        <v>0.77</v>
      </c>
      <c r="G155" s="6">
        <v>77</v>
      </c>
      <c r="H155" s="6">
        <v>10</v>
      </c>
      <c r="I155" s="6">
        <v>112</v>
      </c>
      <c r="J155" s="6">
        <v>83</v>
      </c>
      <c r="K155" s="6">
        <v>113</v>
      </c>
      <c r="L155" s="6">
        <v>30</v>
      </c>
      <c r="M155" s="6">
        <v>68</v>
      </c>
      <c r="N155" s="6">
        <v>57</v>
      </c>
      <c r="O155" s="6">
        <v>70</v>
      </c>
      <c r="P155" s="6">
        <v>44</v>
      </c>
      <c r="Q155" s="6">
        <v>61</v>
      </c>
      <c r="R155" s="6">
        <v>94</v>
      </c>
      <c r="S155" s="6">
        <v>103</v>
      </c>
      <c r="T155" s="6">
        <v>58</v>
      </c>
      <c r="U155" s="6">
        <v>77</v>
      </c>
      <c r="V155" s="6">
        <v>220</v>
      </c>
      <c r="W155" s="6">
        <v>87</v>
      </c>
      <c r="X155" s="6">
        <v>59</v>
      </c>
      <c r="Y155" s="6">
        <v>159</v>
      </c>
      <c r="Z155" s="6">
        <v>52</v>
      </c>
      <c r="AA155" s="6">
        <v>40</v>
      </c>
      <c r="AB155" s="6">
        <v>70</v>
      </c>
      <c r="AC155" s="6">
        <v>101</v>
      </c>
      <c r="AD155" s="6">
        <v>108</v>
      </c>
      <c r="AE155" s="6">
        <v>410</v>
      </c>
    </row>
    <row r="156" spans="1:31" ht="30.75" thickBot="1" x14ac:dyDescent="0.3">
      <c r="A156" s="3">
        <v>2022</v>
      </c>
      <c r="B156" s="3">
        <v>3</v>
      </c>
      <c r="C156" s="3" t="s">
        <v>50</v>
      </c>
      <c r="D156" s="4" t="s">
        <v>38</v>
      </c>
      <c r="E156" s="3">
        <v>86</v>
      </c>
      <c r="F156" s="5">
        <v>0.32</v>
      </c>
      <c r="G156" s="6">
        <v>31</v>
      </c>
      <c r="H156" s="6">
        <v>35</v>
      </c>
      <c r="I156" s="6">
        <v>43</v>
      </c>
      <c r="J156" s="6">
        <v>107</v>
      </c>
      <c r="K156" s="6">
        <v>69</v>
      </c>
      <c r="L156" s="6">
        <v>31</v>
      </c>
      <c r="M156" s="6">
        <v>51</v>
      </c>
      <c r="N156" s="6">
        <v>102</v>
      </c>
      <c r="O156" s="6">
        <v>56</v>
      </c>
      <c r="P156" s="6">
        <v>73</v>
      </c>
      <c r="Q156" s="6">
        <v>86</v>
      </c>
      <c r="R156" s="6">
        <v>93</v>
      </c>
      <c r="S156" s="6">
        <v>95</v>
      </c>
      <c r="T156" s="6">
        <v>121</v>
      </c>
      <c r="U156" s="6">
        <v>30</v>
      </c>
      <c r="V156" s="6">
        <v>115</v>
      </c>
      <c r="W156" s="6">
        <v>31</v>
      </c>
      <c r="X156" s="6">
        <v>187</v>
      </c>
      <c r="Y156" s="6">
        <v>112</v>
      </c>
      <c r="Z156" s="6">
        <v>213</v>
      </c>
      <c r="AA156" s="6">
        <v>193</v>
      </c>
      <c r="AB156" s="6">
        <v>126</v>
      </c>
      <c r="AC156" s="6">
        <v>618</v>
      </c>
      <c r="AD156" s="6">
        <v>235</v>
      </c>
      <c r="AE156" s="6">
        <v>29</v>
      </c>
    </row>
    <row r="157" spans="1:31" ht="30.75" thickBot="1" x14ac:dyDescent="0.3">
      <c r="A157" s="3">
        <v>2022</v>
      </c>
      <c r="B157" s="3">
        <v>3</v>
      </c>
      <c r="C157" s="3" t="s">
        <v>50</v>
      </c>
      <c r="D157" s="4" t="s">
        <v>40</v>
      </c>
      <c r="E157" s="3">
        <v>25</v>
      </c>
      <c r="F157" s="5">
        <v>0.47</v>
      </c>
      <c r="G157" s="6">
        <v>36</v>
      </c>
      <c r="H157" s="6">
        <v>30</v>
      </c>
      <c r="I157" s="6">
        <v>120</v>
      </c>
      <c r="J157" s="6">
        <v>41</v>
      </c>
      <c r="K157" s="6">
        <v>49</v>
      </c>
      <c r="L157" s="6">
        <v>81</v>
      </c>
      <c r="M157" s="6">
        <v>137</v>
      </c>
      <c r="N157" s="6">
        <v>40</v>
      </c>
      <c r="O157" s="6">
        <v>111</v>
      </c>
      <c r="P157" s="6">
        <v>138</v>
      </c>
      <c r="Q157" s="6">
        <v>61</v>
      </c>
      <c r="R157" s="6">
        <v>30</v>
      </c>
      <c r="S157" s="6">
        <v>62</v>
      </c>
      <c r="T157" s="6">
        <v>72</v>
      </c>
      <c r="U157" s="6">
        <v>96</v>
      </c>
      <c r="V157" s="6">
        <v>62</v>
      </c>
      <c r="W157" s="6">
        <v>215</v>
      </c>
      <c r="X157" s="6">
        <v>120</v>
      </c>
      <c r="Y157" s="6">
        <v>378</v>
      </c>
      <c r="Z157" s="6">
        <v>111</v>
      </c>
      <c r="AA157" s="6">
        <v>85</v>
      </c>
      <c r="AB157" s="6">
        <v>163</v>
      </c>
      <c r="AC157" s="6">
        <v>28</v>
      </c>
      <c r="AD157" s="6">
        <v>157</v>
      </c>
      <c r="AE157" s="6">
        <v>236</v>
      </c>
    </row>
    <row r="158" spans="1:31" ht="30.75" thickBot="1" x14ac:dyDescent="0.3">
      <c r="A158" s="3">
        <v>2022</v>
      </c>
      <c r="B158" s="3">
        <v>4</v>
      </c>
      <c r="C158" s="3" t="s">
        <v>58</v>
      </c>
      <c r="D158" s="4" t="s">
        <v>32</v>
      </c>
      <c r="E158" s="3">
        <v>49</v>
      </c>
      <c r="F158" s="5">
        <v>0.75</v>
      </c>
      <c r="G158" s="6">
        <v>49</v>
      </c>
      <c r="H158" s="6">
        <v>19</v>
      </c>
      <c r="I158" s="6">
        <v>99</v>
      </c>
      <c r="J158" s="6">
        <v>102</v>
      </c>
      <c r="K158" s="6">
        <v>106</v>
      </c>
      <c r="L158" s="6">
        <v>66</v>
      </c>
      <c r="M158" s="6">
        <v>26</v>
      </c>
      <c r="N158" s="6">
        <v>38</v>
      </c>
      <c r="O158" s="6">
        <v>64</v>
      </c>
      <c r="P158" s="6">
        <v>58</v>
      </c>
      <c r="Q158" s="6">
        <v>143</v>
      </c>
      <c r="R158" s="6">
        <v>102</v>
      </c>
      <c r="S158" s="6">
        <v>51</v>
      </c>
      <c r="T158" s="6">
        <v>48</v>
      </c>
      <c r="U158" s="6">
        <v>81</v>
      </c>
      <c r="V158" s="6">
        <v>22</v>
      </c>
      <c r="W158" s="6">
        <v>42</v>
      </c>
      <c r="X158" s="6">
        <v>95</v>
      </c>
      <c r="Y158" s="6">
        <v>104</v>
      </c>
      <c r="Z158" s="6">
        <v>368</v>
      </c>
      <c r="AA158" s="6">
        <v>389</v>
      </c>
      <c r="AB158" s="6">
        <v>368</v>
      </c>
      <c r="AC158" s="6">
        <v>39</v>
      </c>
      <c r="AD158" s="6">
        <v>124</v>
      </c>
      <c r="AE158" s="6">
        <v>354</v>
      </c>
    </row>
    <row r="159" spans="1:31" ht="30.75" thickBot="1" x14ac:dyDescent="0.3">
      <c r="A159" s="3">
        <v>2022</v>
      </c>
      <c r="B159" s="3">
        <v>4</v>
      </c>
      <c r="C159" s="3" t="s">
        <v>58</v>
      </c>
      <c r="D159" s="4" t="s">
        <v>35</v>
      </c>
      <c r="E159" s="3">
        <v>71</v>
      </c>
      <c r="F159" s="5">
        <v>0.38</v>
      </c>
      <c r="G159" s="6">
        <v>44</v>
      </c>
      <c r="H159" s="6">
        <v>9</v>
      </c>
      <c r="I159" s="6">
        <v>71</v>
      </c>
      <c r="J159" s="6">
        <v>74</v>
      </c>
      <c r="K159" s="6">
        <v>87</v>
      </c>
      <c r="L159" s="6">
        <v>117</v>
      </c>
      <c r="M159" s="6">
        <v>57</v>
      </c>
      <c r="N159" s="6">
        <v>75</v>
      </c>
      <c r="O159" s="6">
        <v>67</v>
      </c>
      <c r="P159" s="6">
        <v>84</v>
      </c>
      <c r="Q159" s="6">
        <v>34</v>
      </c>
      <c r="R159" s="6">
        <v>37</v>
      </c>
      <c r="S159" s="6">
        <v>133</v>
      </c>
      <c r="T159" s="6">
        <v>38</v>
      </c>
      <c r="U159" s="6">
        <v>16</v>
      </c>
      <c r="V159" s="6">
        <v>351</v>
      </c>
      <c r="W159" s="6">
        <v>235</v>
      </c>
      <c r="X159" s="6">
        <v>163</v>
      </c>
      <c r="Y159" s="6">
        <v>172</v>
      </c>
      <c r="Z159" s="6">
        <v>68</v>
      </c>
      <c r="AA159" s="6">
        <v>89</v>
      </c>
      <c r="AB159" s="6">
        <v>119</v>
      </c>
      <c r="AC159" s="6">
        <v>66</v>
      </c>
      <c r="AD159" s="6">
        <v>86</v>
      </c>
      <c r="AE159" s="6">
        <v>75</v>
      </c>
    </row>
    <row r="160" spans="1:31" ht="30.75" thickBot="1" x14ac:dyDescent="0.3">
      <c r="A160" s="3">
        <v>2022</v>
      </c>
      <c r="B160" s="3">
        <v>4</v>
      </c>
      <c r="C160" s="3" t="s">
        <v>58</v>
      </c>
      <c r="D160" s="4" t="s">
        <v>38</v>
      </c>
      <c r="E160" s="3">
        <v>26</v>
      </c>
      <c r="F160" s="5">
        <v>0.72</v>
      </c>
      <c r="G160" s="6">
        <v>24</v>
      </c>
      <c r="H160" s="6">
        <v>16</v>
      </c>
      <c r="I160" s="6">
        <v>82</v>
      </c>
      <c r="J160" s="6">
        <v>43</v>
      </c>
      <c r="K160" s="6">
        <v>118</v>
      </c>
      <c r="L160" s="6">
        <v>83</v>
      </c>
      <c r="M160" s="6">
        <v>45</v>
      </c>
      <c r="N160" s="6">
        <v>78</v>
      </c>
      <c r="O160" s="6">
        <v>43</v>
      </c>
      <c r="P160" s="6">
        <v>142</v>
      </c>
      <c r="Q160" s="6">
        <v>118</v>
      </c>
      <c r="R160" s="6">
        <v>59</v>
      </c>
      <c r="S160" s="6">
        <v>45</v>
      </c>
      <c r="T160" s="6">
        <v>71</v>
      </c>
      <c r="U160" s="6">
        <v>65</v>
      </c>
      <c r="V160" s="6">
        <v>152</v>
      </c>
      <c r="W160" s="6">
        <v>106</v>
      </c>
      <c r="X160" s="6">
        <v>93</v>
      </c>
      <c r="Y160" s="6">
        <v>226</v>
      </c>
      <c r="Z160" s="6">
        <v>40</v>
      </c>
      <c r="AA160" s="6">
        <v>287</v>
      </c>
      <c r="AB160" s="6">
        <v>66</v>
      </c>
      <c r="AC160" s="6">
        <v>64</v>
      </c>
      <c r="AD160" s="6">
        <v>26</v>
      </c>
      <c r="AE160" s="6">
        <v>97</v>
      </c>
    </row>
    <row r="161" spans="1:31" ht="30.75" thickBot="1" x14ac:dyDescent="0.3">
      <c r="A161" s="3">
        <v>2022</v>
      </c>
      <c r="B161" s="3">
        <v>4</v>
      </c>
      <c r="C161" s="3" t="s">
        <v>58</v>
      </c>
      <c r="D161" s="4" t="s">
        <v>40</v>
      </c>
      <c r="E161" s="3">
        <v>41</v>
      </c>
      <c r="F161" s="5">
        <v>0.46</v>
      </c>
      <c r="G161" s="6">
        <v>48</v>
      </c>
      <c r="H161" s="6">
        <v>19</v>
      </c>
      <c r="I161" s="6">
        <v>44</v>
      </c>
      <c r="J161" s="6">
        <v>119</v>
      </c>
      <c r="K161" s="6">
        <v>50</v>
      </c>
      <c r="L161" s="6">
        <v>37</v>
      </c>
      <c r="M161" s="6">
        <v>73</v>
      </c>
      <c r="N161" s="6">
        <v>75</v>
      </c>
      <c r="O161" s="6">
        <v>80</v>
      </c>
      <c r="P161" s="6">
        <v>49</v>
      </c>
      <c r="Q161" s="6">
        <v>88</v>
      </c>
      <c r="R161" s="6">
        <v>49</v>
      </c>
      <c r="S161" s="6">
        <v>52</v>
      </c>
      <c r="T161" s="6">
        <v>122</v>
      </c>
      <c r="U161" s="6">
        <v>91</v>
      </c>
      <c r="V161" s="6">
        <v>9</v>
      </c>
      <c r="W161" s="6">
        <v>38</v>
      </c>
      <c r="X161" s="6">
        <v>221</v>
      </c>
      <c r="Y161" s="6">
        <v>112</v>
      </c>
      <c r="Z161" s="6">
        <v>31</v>
      </c>
      <c r="AA161" s="6">
        <v>86</v>
      </c>
      <c r="AB161" s="6">
        <v>64</v>
      </c>
      <c r="AC161" s="6">
        <v>145</v>
      </c>
      <c r="AD161" s="6">
        <v>97</v>
      </c>
      <c r="AE161" s="6">
        <v>465</v>
      </c>
    </row>
    <row r="162" spans="1:31" ht="30.75" thickBot="1" x14ac:dyDescent="0.3">
      <c r="A162" s="3">
        <v>2022</v>
      </c>
      <c r="B162" s="3">
        <v>5</v>
      </c>
      <c r="C162" s="3" t="s">
        <v>65</v>
      </c>
      <c r="D162" s="4" t="s">
        <v>32</v>
      </c>
      <c r="E162" s="3">
        <v>42</v>
      </c>
      <c r="F162" s="5">
        <v>0.32</v>
      </c>
      <c r="G162" s="6">
        <v>59</v>
      </c>
      <c r="H162" s="6">
        <v>29</v>
      </c>
      <c r="I162" s="6">
        <v>50</v>
      </c>
      <c r="J162" s="6">
        <v>63</v>
      </c>
      <c r="K162" s="6">
        <v>89</v>
      </c>
      <c r="L162" s="6">
        <v>100</v>
      </c>
      <c r="M162" s="6">
        <v>55</v>
      </c>
      <c r="N162" s="6">
        <v>62</v>
      </c>
      <c r="O162" s="6">
        <v>62</v>
      </c>
      <c r="P162" s="6">
        <v>75</v>
      </c>
      <c r="Q162" s="6">
        <v>47</v>
      </c>
      <c r="R162" s="6">
        <v>102</v>
      </c>
      <c r="S162" s="6">
        <v>72</v>
      </c>
      <c r="T162" s="6">
        <v>50</v>
      </c>
      <c r="U162" s="6">
        <v>68</v>
      </c>
      <c r="V162" s="6">
        <v>135</v>
      </c>
      <c r="W162" s="6">
        <v>37</v>
      </c>
      <c r="X162" s="6">
        <v>298</v>
      </c>
      <c r="Y162" s="6">
        <v>111</v>
      </c>
      <c r="Z162" s="6">
        <v>130</v>
      </c>
      <c r="AA162" s="6">
        <v>63</v>
      </c>
      <c r="AB162" s="6">
        <v>91</v>
      </c>
      <c r="AC162" s="6">
        <v>91</v>
      </c>
      <c r="AD162" s="6">
        <v>48</v>
      </c>
      <c r="AE162" s="6">
        <v>143</v>
      </c>
    </row>
    <row r="163" spans="1:31" ht="30.75" thickBot="1" x14ac:dyDescent="0.3">
      <c r="A163" s="3">
        <v>2022</v>
      </c>
      <c r="B163" s="3">
        <v>5</v>
      </c>
      <c r="C163" s="3" t="s">
        <v>65</v>
      </c>
      <c r="D163" s="4" t="s">
        <v>35</v>
      </c>
      <c r="E163" s="3">
        <v>55</v>
      </c>
      <c r="F163" s="5">
        <v>0.35</v>
      </c>
      <c r="G163" s="6">
        <v>28</v>
      </c>
      <c r="H163" s="6">
        <v>33</v>
      </c>
      <c r="I163" s="6">
        <v>102</v>
      </c>
      <c r="J163" s="6">
        <v>31</v>
      </c>
      <c r="K163" s="6">
        <v>55</v>
      </c>
      <c r="L163" s="6">
        <v>131</v>
      </c>
      <c r="M163" s="6">
        <v>51</v>
      </c>
      <c r="N163" s="6">
        <v>69</v>
      </c>
      <c r="O163" s="6">
        <v>50</v>
      </c>
      <c r="P163" s="6">
        <v>56</v>
      </c>
      <c r="Q163" s="6">
        <v>80</v>
      </c>
      <c r="R163" s="6">
        <v>86</v>
      </c>
      <c r="S163" s="6">
        <v>45</v>
      </c>
      <c r="T163" s="6">
        <v>51</v>
      </c>
      <c r="U163" s="6">
        <v>18</v>
      </c>
      <c r="V163" s="6">
        <v>314</v>
      </c>
      <c r="W163" s="6">
        <v>63</v>
      </c>
      <c r="X163" s="6">
        <v>312</v>
      </c>
      <c r="Y163" s="6">
        <v>233</v>
      </c>
      <c r="Z163" s="6">
        <v>63</v>
      </c>
      <c r="AA163" s="6">
        <v>27</v>
      </c>
      <c r="AB163" s="6">
        <v>185</v>
      </c>
      <c r="AC163" s="6">
        <v>71</v>
      </c>
      <c r="AD163" s="6">
        <v>110</v>
      </c>
      <c r="AE163" s="6">
        <v>78</v>
      </c>
    </row>
    <row r="164" spans="1:31" ht="30.75" thickBot="1" x14ac:dyDescent="0.3">
      <c r="A164" s="3">
        <v>2022</v>
      </c>
      <c r="B164" s="3">
        <v>5</v>
      </c>
      <c r="C164" s="3" t="s">
        <v>65</v>
      </c>
      <c r="D164" s="4" t="s">
        <v>38</v>
      </c>
      <c r="E164" s="3">
        <v>32</v>
      </c>
      <c r="F164" s="5">
        <v>0.41</v>
      </c>
      <c r="G164" s="6">
        <v>61</v>
      </c>
      <c r="H164" s="6">
        <v>19</v>
      </c>
      <c r="I164" s="6">
        <v>127</v>
      </c>
      <c r="J164" s="6">
        <v>68</v>
      </c>
      <c r="K164" s="6">
        <v>46</v>
      </c>
      <c r="L164" s="6">
        <v>105</v>
      </c>
      <c r="M164" s="6">
        <v>43</v>
      </c>
      <c r="N164" s="6">
        <v>113</v>
      </c>
      <c r="O164" s="6">
        <v>89</v>
      </c>
      <c r="P164" s="6">
        <v>48</v>
      </c>
      <c r="Q164" s="6">
        <v>59</v>
      </c>
      <c r="R164" s="6">
        <v>146</v>
      </c>
      <c r="S164" s="6">
        <v>63</v>
      </c>
      <c r="T164" s="6">
        <v>54</v>
      </c>
      <c r="U164" s="6">
        <v>52</v>
      </c>
      <c r="V164" s="6">
        <v>56</v>
      </c>
      <c r="W164" s="6">
        <v>375</v>
      </c>
      <c r="X164" s="6">
        <v>195</v>
      </c>
      <c r="Y164" s="6">
        <v>30</v>
      </c>
      <c r="Z164" s="6">
        <v>23</v>
      </c>
      <c r="AA164" s="6">
        <v>596</v>
      </c>
      <c r="AB164" s="6">
        <v>97</v>
      </c>
      <c r="AC164" s="6">
        <v>69</v>
      </c>
      <c r="AD164" s="6">
        <v>106</v>
      </c>
      <c r="AE164" s="6">
        <v>238</v>
      </c>
    </row>
    <row r="165" spans="1:31" ht="30.75" thickBot="1" x14ac:dyDescent="0.3">
      <c r="A165" s="3">
        <v>2022</v>
      </c>
      <c r="B165" s="3">
        <v>5</v>
      </c>
      <c r="C165" s="3" t="s">
        <v>65</v>
      </c>
      <c r="D165" s="4" t="s">
        <v>40</v>
      </c>
      <c r="E165" s="3">
        <v>32</v>
      </c>
      <c r="F165" s="5">
        <v>0.32</v>
      </c>
      <c r="G165" s="6">
        <v>76</v>
      </c>
      <c r="H165" s="6">
        <v>41</v>
      </c>
      <c r="I165" s="6">
        <v>91</v>
      </c>
      <c r="J165" s="6">
        <v>42</v>
      </c>
      <c r="K165" s="6">
        <v>111</v>
      </c>
      <c r="L165" s="6">
        <v>113</v>
      </c>
      <c r="M165" s="6">
        <v>46</v>
      </c>
      <c r="N165" s="6">
        <v>94</v>
      </c>
      <c r="O165" s="6">
        <v>57</v>
      </c>
      <c r="P165" s="6">
        <v>36</v>
      </c>
      <c r="Q165" s="6">
        <v>89</v>
      </c>
      <c r="R165" s="6">
        <v>110</v>
      </c>
      <c r="S165" s="6">
        <v>68</v>
      </c>
      <c r="T165" s="6">
        <v>75</v>
      </c>
      <c r="U165" s="6">
        <v>25</v>
      </c>
      <c r="V165" s="6">
        <v>400</v>
      </c>
      <c r="W165" s="6">
        <v>126</v>
      </c>
      <c r="X165" s="6">
        <v>440</v>
      </c>
      <c r="Y165" s="6">
        <v>36</v>
      </c>
      <c r="Z165" s="6">
        <v>169</v>
      </c>
      <c r="AA165" s="6">
        <v>407</v>
      </c>
      <c r="AB165" s="6">
        <v>217</v>
      </c>
      <c r="AC165" s="6">
        <v>96</v>
      </c>
      <c r="AD165" s="6">
        <v>115</v>
      </c>
      <c r="AE165" s="6">
        <v>72</v>
      </c>
    </row>
    <row r="166" spans="1:31" ht="30.75" thickBot="1" x14ac:dyDescent="0.3">
      <c r="A166" s="3">
        <v>2022</v>
      </c>
      <c r="B166" s="3">
        <v>6</v>
      </c>
      <c r="C166" s="3" t="s">
        <v>71</v>
      </c>
      <c r="D166" s="4" t="s">
        <v>32</v>
      </c>
      <c r="E166" s="3">
        <v>44</v>
      </c>
      <c r="F166" s="5">
        <v>0.33</v>
      </c>
      <c r="G166" s="6">
        <v>60</v>
      </c>
      <c r="H166" s="6">
        <v>36</v>
      </c>
      <c r="I166" s="6">
        <v>112</v>
      </c>
      <c r="J166" s="6">
        <v>59</v>
      </c>
      <c r="K166" s="6">
        <v>133</v>
      </c>
      <c r="L166" s="6">
        <v>75</v>
      </c>
      <c r="M166" s="6">
        <v>95</v>
      </c>
      <c r="N166" s="6">
        <v>46</v>
      </c>
      <c r="O166" s="6">
        <v>52</v>
      </c>
      <c r="P166" s="6">
        <v>98</v>
      </c>
      <c r="Q166" s="6">
        <v>56</v>
      </c>
      <c r="R166" s="6">
        <v>129</v>
      </c>
      <c r="S166" s="6">
        <v>112</v>
      </c>
      <c r="T166" s="6">
        <v>100</v>
      </c>
      <c r="U166" s="6">
        <v>49</v>
      </c>
      <c r="V166" s="6">
        <v>173</v>
      </c>
      <c r="W166" s="6">
        <v>325</v>
      </c>
      <c r="X166" s="6">
        <v>152</v>
      </c>
      <c r="Y166" s="6">
        <v>73</v>
      </c>
      <c r="Z166" s="6">
        <v>56</v>
      </c>
      <c r="AA166" s="6">
        <v>113</v>
      </c>
      <c r="AB166" s="6">
        <v>36</v>
      </c>
      <c r="AC166" s="6">
        <v>260</v>
      </c>
      <c r="AD166" s="6">
        <v>522</v>
      </c>
      <c r="AE166" s="6">
        <v>132</v>
      </c>
    </row>
    <row r="167" spans="1:31" ht="30.75" thickBot="1" x14ac:dyDescent="0.3">
      <c r="A167" s="3">
        <v>2022</v>
      </c>
      <c r="B167" s="3">
        <v>6</v>
      </c>
      <c r="C167" s="3" t="s">
        <v>71</v>
      </c>
      <c r="D167" s="4" t="s">
        <v>35</v>
      </c>
      <c r="E167" s="3">
        <v>42</v>
      </c>
      <c r="F167" s="5">
        <v>0.32</v>
      </c>
      <c r="G167" s="6">
        <v>90</v>
      </c>
      <c r="H167" s="6">
        <v>10</v>
      </c>
      <c r="I167" s="6">
        <v>43</v>
      </c>
      <c r="J167" s="6">
        <v>79</v>
      </c>
      <c r="K167" s="6">
        <v>67</v>
      </c>
      <c r="L167" s="6">
        <v>107</v>
      </c>
      <c r="M167" s="6">
        <v>78</v>
      </c>
      <c r="N167" s="6">
        <v>100</v>
      </c>
      <c r="O167" s="6">
        <v>64</v>
      </c>
      <c r="P167" s="6">
        <v>79</v>
      </c>
      <c r="Q167" s="6">
        <v>127</v>
      </c>
      <c r="R167" s="6">
        <v>49</v>
      </c>
      <c r="S167" s="6">
        <v>76</v>
      </c>
      <c r="T167" s="6">
        <v>93</v>
      </c>
      <c r="U167" s="6">
        <v>18</v>
      </c>
      <c r="V167" s="6">
        <v>103</v>
      </c>
      <c r="W167" s="6">
        <v>202</v>
      </c>
      <c r="X167" s="6">
        <v>78</v>
      </c>
      <c r="Y167" s="6">
        <v>267</v>
      </c>
      <c r="Z167" s="6">
        <v>165</v>
      </c>
      <c r="AA167" s="6">
        <v>37</v>
      </c>
      <c r="AB167" s="6">
        <v>171</v>
      </c>
      <c r="AC167" s="6">
        <v>38</v>
      </c>
      <c r="AD167" s="6">
        <v>85</v>
      </c>
      <c r="AE167" s="6">
        <v>62</v>
      </c>
    </row>
    <row r="168" spans="1:31" ht="30.75" thickBot="1" x14ac:dyDescent="0.3">
      <c r="A168" s="3">
        <v>2022</v>
      </c>
      <c r="B168" s="3">
        <v>6</v>
      </c>
      <c r="C168" s="3" t="s">
        <v>71</v>
      </c>
      <c r="D168" s="4" t="s">
        <v>38</v>
      </c>
      <c r="E168" s="3">
        <v>81</v>
      </c>
      <c r="F168" s="5">
        <v>0.37</v>
      </c>
      <c r="G168" s="6">
        <v>91</v>
      </c>
      <c r="H168" s="6">
        <v>39</v>
      </c>
      <c r="I168" s="6">
        <v>59</v>
      </c>
      <c r="J168" s="6">
        <v>101</v>
      </c>
      <c r="K168" s="6">
        <v>71</v>
      </c>
      <c r="L168" s="6">
        <v>84</v>
      </c>
      <c r="M168" s="6">
        <v>51</v>
      </c>
      <c r="N168" s="6">
        <v>92</v>
      </c>
      <c r="O168" s="6">
        <v>127</v>
      </c>
      <c r="P168" s="6">
        <v>64</v>
      </c>
      <c r="Q168" s="6">
        <v>45</v>
      </c>
      <c r="R168" s="6">
        <v>53</v>
      </c>
      <c r="S168" s="6">
        <v>42</v>
      </c>
      <c r="T168" s="6">
        <v>116</v>
      </c>
      <c r="U168" s="6">
        <v>64</v>
      </c>
      <c r="V168" s="6">
        <v>80</v>
      </c>
      <c r="W168" s="6">
        <v>121</v>
      </c>
      <c r="X168" s="6">
        <v>88</v>
      </c>
      <c r="Y168" s="6">
        <v>209</v>
      </c>
      <c r="Z168" s="6">
        <v>70</v>
      </c>
      <c r="AA168" s="6">
        <v>316</v>
      </c>
      <c r="AB168" s="6">
        <v>384</v>
      </c>
      <c r="AC168" s="6">
        <v>218</v>
      </c>
      <c r="AD168" s="6">
        <v>290</v>
      </c>
      <c r="AE168" s="6">
        <v>226</v>
      </c>
    </row>
    <row r="169" spans="1:31" ht="30.75" thickBot="1" x14ac:dyDescent="0.3">
      <c r="A169" s="3">
        <v>2022</v>
      </c>
      <c r="B169" s="3">
        <v>6</v>
      </c>
      <c r="C169" s="3" t="s">
        <v>71</v>
      </c>
      <c r="D169" s="4" t="s">
        <v>40</v>
      </c>
      <c r="E169" s="3">
        <v>46</v>
      </c>
      <c r="F169" s="5">
        <v>0.52</v>
      </c>
      <c r="G169" s="6">
        <v>56</v>
      </c>
      <c r="H169" s="6">
        <v>8</v>
      </c>
      <c r="I169" s="6">
        <v>49</v>
      </c>
      <c r="J169" s="6">
        <v>91</v>
      </c>
      <c r="K169" s="6">
        <v>102</v>
      </c>
      <c r="L169" s="6">
        <v>71</v>
      </c>
      <c r="M169" s="6">
        <v>142</v>
      </c>
      <c r="N169" s="6">
        <v>119</v>
      </c>
      <c r="O169" s="6">
        <v>78</v>
      </c>
      <c r="P169" s="6">
        <v>37</v>
      </c>
      <c r="Q169" s="6">
        <v>84</v>
      </c>
      <c r="R169" s="6">
        <v>34</v>
      </c>
      <c r="S169" s="6">
        <v>66</v>
      </c>
      <c r="T169" s="6">
        <v>94</v>
      </c>
      <c r="U169" s="6">
        <v>63</v>
      </c>
      <c r="V169" s="6">
        <v>36</v>
      </c>
      <c r="W169" s="6">
        <v>145</v>
      </c>
      <c r="X169" s="6">
        <v>116</v>
      </c>
      <c r="Y169" s="6">
        <v>47</v>
      </c>
      <c r="Z169" s="6">
        <v>43</v>
      </c>
      <c r="AA169" s="6">
        <v>89</v>
      </c>
      <c r="AB169" s="6">
        <v>70</v>
      </c>
      <c r="AC169" s="6">
        <v>363</v>
      </c>
      <c r="AD169" s="6">
        <v>306</v>
      </c>
      <c r="AE169" s="6">
        <v>165</v>
      </c>
    </row>
    <row r="170" spans="1:31" ht="30.75" thickBot="1" x14ac:dyDescent="0.3">
      <c r="A170" s="3">
        <v>2022</v>
      </c>
      <c r="B170" s="3">
        <v>7</v>
      </c>
      <c r="C170" s="3" t="s">
        <v>76</v>
      </c>
      <c r="D170" s="4" t="s">
        <v>32</v>
      </c>
      <c r="E170" s="3">
        <v>44</v>
      </c>
      <c r="F170" s="5">
        <v>0.62</v>
      </c>
      <c r="G170" s="6">
        <v>58</v>
      </c>
      <c r="H170" s="6">
        <v>33</v>
      </c>
      <c r="I170" s="6">
        <v>119</v>
      </c>
      <c r="J170" s="6">
        <v>62</v>
      </c>
      <c r="K170" s="6">
        <v>130</v>
      </c>
      <c r="L170" s="6">
        <v>93</v>
      </c>
      <c r="M170" s="6">
        <v>100</v>
      </c>
      <c r="N170" s="6">
        <v>125</v>
      </c>
      <c r="O170" s="6">
        <v>91</v>
      </c>
      <c r="P170" s="6">
        <v>47</v>
      </c>
      <c r="Q170" s="6">
        <v>142</v>
      </c>
      <c r="R170" s="6">
        <v>51</v>
      </c>
      <c r="S170" s="6">
        <v>74</v>
      </c>
      <c r="T170" s="6">
        <v>93</v>
      </c>
      <c r="U170" s="6">
        <v>50</v>
      </c>
      <c r="V170" s="6">
        <v>8</v>
      </c>
      <c r="W170" s="6">
        <v>706</v>
      </c>
      <c r="X170" s="6">
        <v>134</v>
      </c>
      <c r="Y170" s="6">
        <v>210</v>
      </c>
      <c r="Z170" s="6">
        <v>122</v>
      </c>
      <c r="AA170" s="6">
        <v>196</v>
      </c>
      <c r="AB170" s="6">
        <v>130</v>
      </c>
      <c r="AC170" s="6">
        <v>141</v>
      </c>
      <c r="AD170" s="6">
        <v>339</v>
      </c>
      <c r="AE170" s="6">
        <v>6</v>
      </c>
    </row>
    <row r="171" spans="1:31" ht="30.75" thickBot="1" x14ac:dyDescent="0.3">
      <c r="A171" s="3">
        <v>2022</v>
      </c>
      <c r="B171" s="3">
        <v>7</v>
      </c>
      <c r="C171" s="3" t="s">
        <v>76</v>
      </c>
      <c r="D171" s="4" t="s">
        <v>35</v>
      </c>
      <c r="E171" s="3">
        <v>72</v>
      </c>
      <c r="F171" s="5">
        <v>0.51</v>
      </c>
      <c r="G171" s="6">
        <v>101</v>
      </c>
      <c r="H171" s="6">
        <v>14</v>
      </c>
      <c r="I171" s="6">
        <v>68</v>
      </c>
      <c r="J171" s="6">
        <v>49</v>
      </c>
      <c r="K171" s="6">
        <v>143</v>
      </c>
      <c r="L171" s="6">
        <v>113</v>
      </c>
      <c r="M171" s="6">
        <v>128</v>
      </c>
      <c r="N171" s="6">
        <v>98</v>
      </c>
      <c r="O171" s="6">
        <v>64</v>
      </c>
      <c r="P171" s="6">
        <v>88</v>
      </c>
      <c r="Q171" s="6">
        <v>46</v>
      </c>
      <c r="R171" s="6">
        <v>92</v>
      </c>
      <c r="S171" s="6">
        <v>38</v>
      </c>
      <c r="T171" s="6">
        <v>58</v>
      </c>
      <c r="U171" s="6">
        <v>66</v>
      </c>
      <c r="V171" s="6">
        <v>170</v>
      </c>
      <c r="W171" s="6">
        <v>87</v>
      </c>
      <c r="X171" s="6">
        <v>130</v>
      </c>
      <c r="Y171" s="6">
        <v>31</v>
      </c>
      <c r="Z171" s="6">
        <v>174</v>
      </c>
      <c r="AA171" s="6">
        <v>187</v>
      </c>
      <c r="AB171" s="6">
        <v>81</v>
      </c>
      <c r="AC171" s="6">
        <v>74</v>
      </c>
      <c r="AD171" s="6">
        <v>64</v>
      </c>
      <c r="AE171" s="6">
        <v>70</v>
      </c>
    </row>
    <row r="172" spans="1:31" ht="30.75" thickBot="1" x14ac:dyDescent="0.3">
      <c r="A172" s="3">
        <v>2022</v>
      </c>
      <c r="B172" s="3">
        <v>7</v>
      </c>
      <c r="C172" s="3" t="s">
        <v>76</v>
      </c>
      <c r="D172" s="4" t="s">
        <v>38</v>
      </c>
      <c r="E172" s="3">
        <v>72</v>
      </c>
      <c r="F172" s="5">
        <v>0.57999999999999996</v>
      </c>
      <c r="G172" s="6">
        <v>52</v>
      </c>
      <c r="H172" s="6">
        <v>24</v>
      </c>
      <c r="I172" s="6">
        <v>36</v>
      </c>
      <c r="J172" s="6">
        <v>84</v>
      </c>
      <c r="K172" s="6">
        <v>101</v>
      </c>
      <c r="L172" s="6">
        <v>42</v>
      </c>
      <c r="M172" s="6">
        <v>47</v>
      </c>
      <c r="N172" s="6">
        <v>57</v>
      </c>
      <c r="O172" s="6">
        <v>54</v>
      </c>
      <c r="P172" s="6">
        <v>132</v>
      </c>
      <c r="Q172" s="6">
        <v>95</v>
      </c>
      <c r="R172" s="6">
        <v>130</v>
      </c>
      <c r="S172" s="6">
        <v>113</v>
      </c>
      <c r="T172" s="6">
        <v>103</v>
      </c>
      <c r="U172" s="6">
        <v>125</v>
      </c>
      <c r="V172" s="6">
        <v>240</v>
      </c>
      <c r="W172" s="6">
        <v>66</v>
      </c>
      <c r="X172" s="6">
        <v>392</v>
      </c>
      <c r="Y172" s="6">
        <v>192</v>
      </c>
      <c r="Z172" s="6">
        <v>73</v>
      </c>
      <c r="AA172" s="6">
        <v>57</v>
      </c>
      <c r="AB172" s="6">
        <v>130</v>
      </c>
      <c r="AC172" s="6">
        <v>44</v>
      </c>
      <c r="AD172" s="6">
        <v>48</v>
      </c>
      <c r="AE172" s="6">
        <v>50</v>
      </c>
    </row>
    <row r="173" spans="1:31" ht="30.75" thickBot="1" x14ac:dyDescent="0.3">
      <c r="A173" s="3">
        <v>2022</v>
      </c>
      <c r="B173" s="3">
        <v>7</v>
      </c>
      <c r="C173" s="3" t="s">
        <v>76</v>
      </c>
      <c r="D173" s="4" t="s">
        <v>40</v>
      </c>
      <c r="E173" s="3">
        <v>48</v>
      </c>
      <c r="F173" s="5">
        <v>0.43</v>
      </c>
      <c r="G173" s="6">
        <v>55</v>
      </c>
      <c r="H173" s="6">
        <v>30</v>
      </c>
      <c r="I173" s="6">
        <v>62</v>
      </c>
      <c r="J173" s="6">
        <v>94</v>
      </c>
      <c r="K173" s="6">
        <v>89</v>
      </c>
      <c r="L173" s="6">
        <v>61</v>
      </c>
      <c r="M173" s="6">
        <v>48</v>
      </c>
      <c r="N173" s="6">
        <v>59</v>
      </c>
      <c r="O173" s="6">
        <v>42</v>
      </c>
      <c r="P173" s="6">
        <v>71</v>
      </c>
      <c r="Q173" s="6">
        <v>85</v>
      </c>
      <c r="R173" s="6">
        <v>69</v>
      </c>
      <c r="S173" s="6">
        <v>83</v>
      </c>
      <c r="T173" s="6">
        <v>54</v>
      </c>
      <c r="U173" s="6">
        <v>37</v>
      </c>
      <c r="V173" s="6">
        <v>333</v>
      </c>
      <c r="W173" s="6">
        <v>204</v>
      </c>
      <c r="X173" s="6">
        <v>278</v>
      </c>
      <c r="Y173" s="6">
        <v>186</v>
      </c>
      <c r="Z173" s="6">
        <v>58</v>
      </c>
      <c r="AA173" s="6">
        <v>6</v>
      </c>
      <c r="AB173" s="6">
        <v>428</v>
      </c>
      <c r="AC173" s="6">
        <v>266</v>
      </c>
      <c r="AD173" s="6">
        <v>865</v>
      </c>
      <c r="AE173" s="6">
        <v>100</v>
      </c>
    </row>
    <row r="174" spans="1:31" ht="30.75" thickBot="1" x14ac:dyDescent="0.3">
      <c r="A174" s="3">
        <v>2022</v>
      </c>
      <c r="B174" s="3">
        <v>8</v>
      </c>
      <c r="C174" s="3" t="s">
        <v>81</v>
      </c>
      <c r="D174" s="4" t="s">
        <v>32</v>
      </c>
      <c r="E174" s="3">
        <v>60</v>
      </c>
      <c r="F174" s="5">
        <v>0.3</v>
      </c>
      <c r="G174" s="6">
        <v>40</v>
      </c>
      <c r="H174" s="6">
        <v>14</v>
      </c>
      <c r="I174" s="6">
        <v>43</v>
      </c>
      <c r="J174" s="6">
        <v>75</v>
      </c>
      <c r="K174" s="6">
        <v>88</v>
      </c>
      <c r="L174" s="6">
        <v>107</v>
      </c>
      <c r="M174" s="6">
        <v>54</v>
      </c>
      <c r="N174" s="6">
        <v>83</v>
      </c>
      <c r="O174" s="6">
        <v>101</v>
      </c>
      <c r="P174" s="6">
        <v>98</v>
      </c>
      <c r="Q174" s="6">
        <v>37</v>
      </c>
      <c r="R174" s="6">
        <v>103</v>
      </c>
      <c r="S174" s="6">
        <v>79</v>
      </c>
      <c r="T174" s="6">
        <v>25</v>
      </c>
      <c r="U174" s="6">
        <v>68</v>
      </c>
      <c r="V174" s="6">
        <v>56</v>
      </c>
      <c r="W174" s="6">
        <v>27</v>
      </c>
      <c r="X174" s="6">
        <v>119</v>
      </c>
      <c r="Y174" s="6">
        <v>130</v>
      </c>
      <c r="Z174" s="6">
        <v>289</v>
      </c>
      <c r="AA174" s="6">
        <v>362</v>
      </c>
      <c r="AB174" s="6">
        <v>62</v>
      </c>
      <c r="AC174" s="6">
        <v>222</v>
      </c>
      <c r="AD174" s="6">
        <v>75</v>
      </c>
      <c r="AE174" s="6">
        <v>223</v>
      </c>
    </row>
    <row r="175" spans="1:31" ht="30.75" thickBot="1" x14ac:dyDescent="0.3">
      <c r="A175" s="3">
        <v>2022</v>
      </c>
      <c r="B175" s="3">
        <v>8</v>
      </c>
      <c r="C175" s="3" t="s">
        <v>81</v>
      </c>
      <c r="D175" s="4" t="s">
        <v>35</v>
      </c>
      <c r="E175" s="3">
        <v>49</v>
      </c>
      <c r="F175" s="5">
        <v>0.52</v>
      </c>
      <c r="G175" s="6">
        <v>40</v>
      </c>
      <c r="H175" s="6">
        <v>40</v>
      </c>
      <c r="I175" s="6">
        <v>76</v>
      </c>
      <c r="J175" s="6">
        <v>113</v>
      </c>
      <c r="K175" s="6">
        <v>90</v>
      </c>
      <c r="L175" s="6">
        <v>118</v>
      </c>
      <c r="M175" s="6">
        <v>82</v>
      </c>
      <c r="N175" s="6">
        <v>51</v>
      </c>
      <c r="O175" s="6">
        <v>109</v>
      </c>
      <c r="P175" s="6">
        <v>133</v>
      </c>
      <c r="Q175" s="6">
        <v>44</v>
      </c>
      <c r="R175" s="6">
        <v>28</v>
      </c>
      <c r="S175" s="6">
        <v>78</v>
      </c>
      <c r="T175" s="6">
        <v>44</v>
      </c>
      <c r="U175" s="6">
        <v>76</v>
      </c>
      <c r="V175" s="6">
        <v>187</v>
      </c>
      <c r="W175" s="6">
        <v>104</v>
      </c>
      <c r="X175" s="6">
        <v>145</v>
      </c>
      <c r="Y175" s="6">
        <v>208</v>
      </c>
      <c r="Z175" s="6">
        <v>9</v>
      </c>
      <c r="AA175" s="6">
        <v>48</v>
      </c>
      <c r="AB175" s="6">
        <v>40</v>
      </c>
      <c r="AC175" s="6">
        <v>44</v>
      </c>
      <c r="AD175" s="6">
        <v>17</v>
      </c>
      <c r="AE175" s="6">
        <v>153</v>
      </c>
    </row>
    <row r="176" spans="1:31" ht="30.75" thickBot="1" x14ac:dyDescent="0.3">
      <c r="A176" s="3">
        <v>2022</v>
      </c>
      <c r="B176" s="3">
        <v>8</v>
      </c>
      <c r="C176" s="3" t="s">
        <v>81</v>
      </c>
      <c r="D176" s="4" t="s">
        <v>38</v>
      </c>
      <c r="E176" s="3">
        <v>23</v>
      </c>
      <c r="F176" s="5">
        <v>0.35</v>
      </c>
      <c r="G176" s="6">
        <v>69</v>
      </c>
      <c r="H176" s="6">
        <v>17</v>
      </c>
      <c r="I176" s="6">
        <v>121</v>
      </c>
      <c r="J176" s="6">
        <v>95</v>
      </c>
      <c r="K176" s="6">
        <v>100</v>
      </c>
      <c r="L176" s="6">
        <v>68</v>
      </c>
      <c r="M176" s="6">
        <v>104</v>
      </c>
      <c r="N176" s="6">
        <v>55</v>
      </c>
      <c r="O176" s="6">
        <v>62</v>
      </c>
      <c r="P176" s="6">
        <v>113</v>
      </c>
      <c r="Q176" s="6">
        <v>126</v>
      </c>
      <c r="R176" s="6">
        <v>57</v>
      </c>
      <c r="S176" s="6">
        <v>74</v>
      </c>
      <c r="T176" s="6">
        <v>61</v>
      </c>
      <c r="U176" s="6">
        <v>52</v>
      </c>
      <c r="V176" s="6">
        <v>106</v>
      </c>
      <c r="W176" s="6">
        <v>101</v>
      </c>
      <c r="X176" s="6">
        <v>72</v>
      </c>
      <c r="Y176" s="6">
        <v>122</v>
      </c>
      <c r="Z176" s="6">
        <v>77</v>
      </c>
      <c r="AA176" s="6">
        <v>183</v>
      </c>
      <c r="AB176" s="6">
        <v>5</v>
      </c>
      <c r="AC176" s="6">
        <v>28</v>
      </c>
      <c r="AD176" s="6">
        <v>100</v>
      </c>
      <c r="AE176" s="6">
        <v>5</v>
      </c>
    </row>
    <row r="177" spans="1:31" ht="30.75" thickBot="1" x14ac:dyDescent="0.3">
      <c r="A177" s="3">
        <v>2022</v>
      </c>
      <c r="B177" s="3">
        <v>8</v>
      </c>
      <c r="C177" s="3" t="s">
        <v>81</v>
      </c>
      <c r="D177" s="4" t="s">
        <v>40</v>
      </c>
      <c r="E177" s="3">
        <v>47</v>
      </c>
      <c r="F177" s="5">
        <v>0.69</v>
      </c>
      <c r="G177" s="6">
        <v>53</v>
      </c>
      <c r="H177" s="6">
        <v>19</v>
      </c>
      <c r="I177" s="6">
        <v>57</v>
      </c>
      <c r="J177" s="6">
        <v>91</v>
      </c>
      <c r="K177" s="6">
        <v>98</v>
      </c>
      <c r="L177" s="6">
        <v>97</v>
      </c>
      <c r="M177" s="6">
        <v>102</v>
      </c>
      <c r="N177" s="6">
        <v>84</v>
      </c>
      <c r="O177" s="6">
        <v>85</v>
      </c>
      <c r="P177" s="6">
        <v>98</v>
      </c>
      <c r="Q177" s="6">
        <v>141</v>
      </c>
      <c r="R177" s="6">
        <v>37</v>
      </c>
      <c r="S177" s="6">
        <v>69</v>
      </c>
      <c r="T177" s="6">
        <v>56</v>
      </c>
      <c r="U177" s="6">
        <v>38</v>
      </c>
      <c r="V177" s="6">
        <v>1</v>
      </c>
      <c r="W177" s="6">
        <v>168</v>
      </c>
      <c r="X177" s="6">
        <v>209</v>
      </c>
      <c r="Y177" s="6">
        <v>281</v>
      </c>
      <c r="Z177" s="6">
        <v>680</v>
      </c>
      <c r="AA177" s="6">
        <v>154</v>
      </c>
      <c r="AB177" s="6">
        <v>2</v>
      </c>
      <c r="AC177" s="6">
        <v>78</v>
      </c>
      <c r="AD177" s="6">
        <v>198</v>
      </c>
      <c r="AE177" s="6">
        <v>229</v>
      </c>
    </row>
    <row r="178" spans="1:31" ht="30.75" thickBot="1" x14ac:dyDescent="0.3">
      <c r="A178" s="3">
        <v>2022</v>
      </c>
      <c r="B178" s="3">
        <v>9</v>
      </c>
      <c r="C178" s="3" t="s">
        <v>87</v>
      </c>
      <c r="D178" s="4" t="s">
        <v>32</v>
      </c>
      <c r="E178" s="3">
        <v>38</v>
      </c>
      <c r="F178" s="5">
        <v>0.59</v>
      </c>
      <c r="G178" s="6">
        <v>51</v>
      </c>
      <c r="H178" s="6">
        <v>21</v>
      </c>
      <c r="I178" s="6">
        <v>64</v>
      </c>
      <c r="J178" s="6">
        <v>62</v>
      </c>
      <c r="K178" s="6">
        <v>57</v>
      </c>
      <c r="L178" s="6">
        <v>49</v>
      </c>
      <c r="M178" s="6">
        <v>141</v>
      </c>
      <c r="N178" s="6">
        <v>114</v>
      </c>
      <c r="O178" s="6">
        <v>103</v>
      </c>
      <c r="P178" s="6">
        <v>41</v>
      </c>
      <c r="Q178" s="6">
        <v>40</v>
      </c>
      <c r="R178" s="6">
        <v>58</v>
      </c>
      <c r="S178" s="6">
        <v>78</v>
      </c>
      <c r="T178" s="6">
        <v>46</v>
      </c>
      <c r="U178" s="6">
        <v>81</v>
      </c>
      <c r="V178" s="6">
        <v>174</v>
      </c>
      <c r="W178" s="6">
        <v>74</v>
      </c>
      <c r="X178" s="6">
        <v>465</v>
      </c>
      <c r="Y178" s="6">
        <v>159</v>
      </c>
      <c r="Z178" s="6">
        <v>72</v>
      </c>
      <c r="AA178" s="6">
        <v>99</v>
      </c>
      <c r="AB178" s="6">
        <v>116</v>
      </c>
      <c r="AC178" s="6">
        <v>129</v>
      </c>
      <c r="AD178" s="6">
        <v>54</v>
      </c>
      <c r="AE178" s="6">
        <v>169</v>
      </c>
    </row>
    <row r="179" spans="1:31" ht="30.75" thickBot="1" x14ac:dyDescent="0.3">
      <c r="A179" s="3">
        <v>2022</v>
      </c>
      <c r="B179" s="3">
        <v>9</v>
      </c>
      <c r="C179" s="3" t="s">
        <v>87</v>
      </c>
      <c r="D179" s="4" t="s">
        <v>35</v>
      </c>
      <c r="E179" s="3">
        <v>19</v>
      </c>
      <c r="F179" s="5">
        <v>0.75</v>
      </c>
      <c r="G179" s="6">
        <v>33</v>
      </c>
      <c r="H179" s="6">
        <v>28</v>
      </c>
      <c r="I179" s="6">
        <v>66</v>
      </c>
      <c r="J179" s="6">
        <v>138</v>
      </c>
      <c r="K179" s="6">
        <v>36</v>
      </c>
      <c r="L179" s="6">
        <v>125</v>
      </c>
      <c r="M179" s="6">
        <v>39</v>
      </c>
      <c r="N179" s="6">
        <v>53</v>
      </c>
      <c r="O179" s="6">
        <v>84</v>
      </c>
      <c r="P179" s="6">
        <v>81</v>
      </c>
      <c r="Q179" s="6">
        <v>85</v>
      </c>
      <c r="R179" s="6">
        <v>126</v>
      </c>
      <c r="S179" s="6">
        <v>69</v>
      </c>
      <c r="T179" s="6">
        <v>90</v>
      </c>
      <c r="U179" s="6">
        <v>43</v>
      </c>
      <c r="V179" s="6">
        <v>602</v>
      </c>
      <c r="W179" s="6">
        <v>88</v>
      </c>
      <c r="X179" s="6">
        <v>200</v>
      </c>
      <c r="Y179" s="6">
        <v>18</v>
      </c>
      <c r="Z179" s="6">
        <v>52</v>
      </c>
      <c r="AA179" s="6">
        <v>24</v>
      </c>
      <c r="AB179" s="6">
        <v>385</v>
      </c>
      <c r="AC179" s="6">
        <v>60</v>
      </c>
      <c r="AD179" s="6">
        <v>51</v>
      </c>
      <c r="AE179" s="6">
        <v>74</v>
      </c>
    </row>
    <row r="180" spans="1:31" ht="30.75" thickBot="1" x14ac:dyDescent="0.3">
      <c r="A180" s="3">
        <v>2022</v>
      </c>
      <c r="B180" s="3">
        <v>9</v>
      </c>
      <c r="C180" s="3" t="s">
        <v>87</v>
      </c>
      <c r="D180" s="4" t="s">
        <v>38</v>
      </c>
      <c r="E180" s="3">
        <v>35</v>
      </c>
      <c r="F180" s="5">
        <v>0.76</v>
      </c>
      <c r="G180" s="6">
        <v>89</v>
      </c>
      <c r="H180" s="6">
        <v>26</v>
      </c>
      <c r="I180" s="6">
        <v>57</v>
      </c>
      <c r="J180" s="6">
        <v>95</v>
      </c>
      <c r="K180" s="6">
        <v>104</v>
      </c>
      <c r="L180" s="6">
        <v>35</v>
      </c>
      <c r="M180" s="6">
        <v>42</v>
      </c>
      <c r="N180" s="6">
        <v>74</v>
      </c>
      <c r="O180" s="6">
        <v>45</v>
      </c>
      <c r="P180" s="6">
        <v>47</v>
      </c>
      <c r="Q180" s="6">
        <v>123</v>
      </c>
      <c r="R180" s="6">
        <v>51</v>
      </c>
      <c r="S180" s="6">
        <v>131</v>
      </c>
      <c r="T180" s="6">
        <v>93</v>
      </c>
      <c r="U180" s="6">
        <v>102</v>
      </c>
      <c r="V180" s="6">
        <v>149</v>
      </c>
      <c r="W180" s="6">
        <v>368</v>
      </c>
      <c r="X180" s="6">
        <v>244</v>
      </c>
      <c r="Y180" s="6">
        <v>29</v>
      </c>
      <c r="Z180" s="6">
        <v>51</v>
      </c>
      <c r="AA180" s="6">
        <v>294</v>
      </c>
      <c r="AB180" s="6">
        <v>140</v>
      </c>
      <c r="AC180" s="6">
        <v>132</v>
      </c>
      <c r="AD180" s="6">
        <v>137</v>
      </c>
      <c r="AE180" s="6">
        <v>101</v>
      </c>
    </row>
    <row r="181" spans="1:31" ht="30.75" thickBot="1" x14ac:dyDescent="0.3">
      <c r="A181" s="3">
        <v>2022</v>
      </c>
      <c r="B181" s="3">
        <v>9</v>
      </c>
      <c r="C181" s="3" t="s">
        <v>87</v>
      </c>
      <c r="D181" s="4" t="s">
        <v>40</v>
      </c>
      <c r="E181" s="3">
        <v>39</v>
      </c>
      <c r="F181" s="5">
        <v>0.68</v>
      </c>
      <c r="G181" s="6">
        <v>61</v>
      </c>
      <c r="H181" s="6">
        <v>9</v>
      </c>
      <c r="I181" s="6">
        <v>64</v>
      </c>
      <c r="J181" s="6">
        <v>81</v>
      </c>
      <c r="K181" s="6">
        <v>48</v>
      </c>
      <c r="L181" s="6">
        <v>44</v>
      </c>
      <c r="M181" s="6">
        <v>91</v>
      </c>
      <c r="N181" s="6">
        <v>104</v>
      </c>
      <c r="O181" s="6">
        <v>89</v>
      </c>
      <c r="P181" s="6">
        <v>104</v>
      </c>
      <c r="Q181" s="6">
        <v>48</v>
      </c>
      <c r="R181" s="6">
        <v>118</v>
      </c>
      <c r="S181" s="6">
        <v>116</v>
      </c>
      <c r="T181" s="6">
        <v>51</v>
      </c>
      <c r="U181" s="6">
        <v>77</v>
      </c>
      <c r="V181" s="6">
        <v>36</v>
      </c>
      <c r="W181" s="6">
        <v>477</v>
      </c>
      <c r="X181" s="6">
        <v>36</v>
      </c>
      <c r="Y181" s="6">
        <v>89</v>
      </c>
      <c r="Z181" s="6">
        <v>246</v>
      </c>
      <c r="AA181" s="6">
        <v>47</v>
      </c>
      <c r="AB181" s="6">
        <v>50</v>
      </c>
      <c r="AC181" s="6">
        <v>39</v>
      </c>
      <c r="AD181" s="6">
        <v>76</v>
      </c>
      <c r="AE181" s="6">
        <v>197</v>
      </c>
    </row>
    <row r="182" spans="1:31" ht="30.75" thickBot="1" x14ac:dyDescent="0.3">
      <c r="A182" s="3">
        <v>2022</v>
      </c>
      <c r="B182" s="3">
        <v>10</v>
      </c>
      <c r="C182" s="3" t="s">
        <v>90</v>
      </c>
      <c r="D182" s="4" t="s">
        <v>32</v>
      </c>
      <c r="E182" s="3">
        <v>29</v>
      </c>
      <c r="F182" s="5">
        <v>0.33</v>
      </c>
      <c r="G182" s="6">
        <v>31</v>
      </c>
      <c r="H182" s="6">
        <v>31</v>
      </c>
      <c r="I182" s="6">
        <v>87</v>
      </c>
      <c r="J182" s="6">
        <v>110</v>
      </c>
      <c r="K182" s="6">
        <v>94</v>
      </c>
      <c r="L182" s="6">
        <v>129</v>
      </c>
      <c r="M182" s="6">
        <v>39</v>
      </c>
      <c r="N182" s="6">
        <v>39</v>
      </c>
      <c r="O182" s="6">
        <v>126</v>
      </c>
      <c r="P182" s="6">
        <v>53</v>
      </c>
      <c r="Q182" s="6">
        <v>112</v>
      </c>
      <c r="R182" s="6">
        <v>54</v>
      </c>
      <c r="S182" s="6">
        <v>40</v>
      </c>
      <c r="T182" s="6">
        <v>56</v>
      </c>
      <c r="U182" s="6">
        <v>90</v>
      </c>
      <c r="V182" s="6">
        <v>32</v>
      </c>
      <c r="W182" s="6">
        <v>281</v>
      </c>
      <c r="X182" s="6">
        <v>275</v>
      </c>
      <c r="Y182" s="6">
        <v>176</v>
      </c>
      <c r="Z182" s="6">
        <v>67</v>
      </c>
      <c r="AA182" s="6">
        <v>73</v>
      </c>
      <c r="AB182" s="6">
        <v>171</v>
      </c>
      <c r="AC182" s="6">
        <v>36</v>
      </c>
      <c r="AD182" s="6">
        <v>135</v>
      </c>
      <c r="AE182" s="6">
        <v>16</v>
      </c>
    </row>
    <row r="183" spans="1:31" ht="30.75" thickBot="1" x14ac:dyDescent="0.3">
      <c r="A183" s="3">
        <v>2022</v>
      </c>
      <c r="B183" s="3">
        <v>10</v>
      </c>
      <c r="C183" s="3" t="s">
        <v>90</v>
      </c>
      <c r="D183" s="4" t="s">
        <v>35</v>
      </c>
      <c r="E183" s="3">
        <v>25</v>
      </c>
      <c r="F183" s="5">
        <v>0.6</v>
      </c>
      <c r="G183" s="6">
        <v>107</v>
      </c>
      <c r="H183" s="6">
        <v>33</v>
      </c>
      <c r="I183" s="6">
        <v>75</v>
      </c>
      <c r="J183" s="6">
        <v>50</v>
      </c>
      <c r="K183" s="6">
        <v>71</v>
      </c>
      <c r="L183" s="6">
        <v>80</v>
      </c>
      <c r="M183" s="6">
        <v>86</v>
      </c>
      <c r="N183" s="6">
        <v>50</v>
      </c>
      <c r="O183" s="6">
        <v>95</v>
      </c>
      <c r="P183" s="6">
        <v>70</v>
      </c>
      <c r="Q183" s="6">
        <v>114</v>
      </c>
      <c r="R183" s="6">
        <v>85</v>
      </c>
      <c r="S183" s="6">
        <v>58</v>
      </c>
      <c r="T183" s="6">
        <v>54</v>
      </c>
      <c r="U183" s="6">
        <v>104</v>
      </c>
      <c r="V183" s="6">
        <v>211</v>
      </c>
      <c r="W183" s="6">
        <v>397</v>
      </c>
      <c r="X183" s="6">
        <v>80</v>
      </c>
      <c r="Y183" s="6">
        <v>60</v>
      </c>
      <c r="Z183" s="6">
        <v>175</v>
      </c>
      <c r="AA183" s="6">
        <v>104</v>
      </c>
      <c r="AB183" s="6">
        <v>254</v>
      </c>
      <c r="AC183" s="6">
        <v>71</v>
      </c>
      <c r="AD183" s="6">
        <v>164</v>
      </c>
      <c r="AE183" s="6">
        <v>231</v>
      </c>
    </row>
    <row r="184" spans="1:31" ht="30.75" thickBot="1" x14ac:dyDescent="0.3">
      <c r="A184" s="3">
        <v>2022</v>
      </c>
      <c r="B184" s="3">
        <v>10</v>
      </c>
      <c r="C184" s="3" t="s">
        <v>90</v>
      </c>
      <c r="D184" s="4" t="s">
        <v>38</v>
      </c>
      <c r="E184" s="3">
        <v>62</v>
      </c>
      <c r="F184" s="5">
        <v>0.56999999999999995</v>
      </c>
      <c r="G184" s="6">
        <v>69</v>
      </c>
      <c r="H184" s="6">
        <v>30</v>
      </c>
      <c r="I184" s="6">
        <v>47</v>
      </c>
      <c r="J184" s="6">
        <v>101</v>
      </c>
      <c r="K184" s="6">
        <v>73</v>
      </c>
      <c r="L184" s="6">
        <v>51</v>
      </c>
      <c r="M184" s="6">
        <v>123</v>
      </c>
      <c r="N184" s="6">
        <v>90</v>
      </c>
      <c r="O184" s="6">
        <v>66</v>
      </c>
      <c r="P184" s="6">
        <v>53</v>
      </c>
      <c r="Q184" s="6">
        <v>33</v>
      </c>
      <c r="R184" s="6">
        <v>89</v>
      </c>
      <c r="S184" s="6">
        <v>71</v>
      </c>
      <c r="T184" s="6">
        <v>54</v>
      </c>
      <c r="U184" s="6">
        <v>32</v>
      </c>
      <c r="V184" s="6">
        <v>22</v>
      </c>
      <c r="W184" s="6">
        <v>366</v>
      </c>
      <c r="X184" s="6">
        <v>140</v>
      </c>
      <c r="Y184" s="6">
        <v>154</v>
      </c>
      <c r="Z184" s="6">
        <v>16</v>
      </c>
      <c r="AA184" s="6">
        <v>52</v>
      </c>
      <c r="AB184" s="6">
        <v>22</v>
      </c>
      <c r="AC184" s="6">
        <v>96</v>
      </c>
      <c r="AD184" s="6">
        <v>480</v>
      </c>
      <c r="AE184" s="6">
        <v>16</v>
      </c>
    </row>
    <row r="185" spans="1:31" ht="30.75" thickBot="1" x14ac:dyDescent="0.3">
      <c r="A185" s="3">
        <v>2022</v>
      </c>
      <c r="B185" s="3">
        <v>10</v>
      </c>
      <c r="C185" s="3" t="s">
        <v>90</v>
      </c>
      <c r="D185" s="4" t="s">
        <v>40</v>
      </c>
      <c r="E185" s="3">
        <v>19</v>
      </c>
      <c r="F185" s="5">
        <v>0.68</v>
      </c>
      <c r="G185" s="6">
        <v>29</v>
      </c>
      <c r="H185" s="6">
        <v>37</v>
      </c>
      <c r="I185" s="6">
        <v>48</v>
      </c>
      <c r="J185" s="6">
        <v>71</v>
      </c>
      <c r="K185" s="6">
        <v>56</v>
      </c>
      <c r="L185" s="6">
        <v>65</v>
      </c>
      <c r="M185" s="6">
        <v>57</v>
      </c>
      <c r="N185" s="6">
        <v>77</v>
      </c>
      <c r="O185" s="6">
        <v>83</v>
      </c>
      <c r="P185" s="6">
        <v>84</v>
      </c>
      <c r="Q185" s="6">
        <v>90</v>
      </c>
      <c r="R185" s="6">
        <v>69</v>
      </c>
      <c r="S185" s="6">
        <v>60</v>
      </c>
      <c r="T185" s="6">
        <v>126</v>
      </c>
      <c r="U185" s="6">
        <v>73</v>
      </c>
      <c r="V185" s="6">
        <v>137</v>
      </c>
      <c r="W185" s="6">
        <v>156</v>
      </c>
      <c r="X185" s="6">
        <v>677</v>
      </c>
      <c r="Y185" s="6">
        <v>77</v>
      </c>
      <c r="Z185" s="6">
        <v>175</v>
      </c>
      <c r="AA185" s="6">
        <v>10</v>
      </c>
      <c r="AB185" s="6">
        <v>11</v>
      </c>
      <c r="AC185" s="6">
        <v>44</v>
      </c>
      <c r="AD185" s="6">
        <v>191</v>
      </c>
      <c r="AE185" s="6">
        <v>80</v>
      </c>
    </row>
    <row r="186" spans="1:31" ht="30.75" thickBot="1" x14ac:dyDescent="0.3">
      <c r="A186" s="3">
        <v>2022</v>
      </c>
      <c r="B186" s="3">
        <v>11</v>
      </c>
      <c r="C186" s="3" t="s">
        <v>93</v>
      </c>
      <c r="D186" s="4" t="s">
        <v>32</v>
      </c>
      <c r="E186" s="3">
        <v>86</v>
      </c>
      <c r="F186" s="5">
        <v>0.66</v>
      </c>
      <c r="G186" s="6">
        <v>79</v>
      </c>
      <c r="H186" s="6">
        <v>29</v>
      </c>
      <c r="I186" s="6">
        <v>68</v>
      </c>
      <c r="J186" s="6">
        <v>60</v>
      </c>
      <c r="K186" s="6">
        <v>43</v>
      </c>
      <c r="L186" s="6">
        <v>55</v>
      </c>
      <c r="M186" s="6">
        <v>142</v>
      </c>
      <c r="N186" s="6">
        <v>49</v>
      </c>
      <c r="O186" s="6">
        <v>103</v>
      </c>
      <c r="P186" s="6">
        <v>96</v>
      </c>
      <c r="Q186" s="6">
        <v>123</v>
      </c>
      <c r="R186" s="6">
        <v>110</v>
      </c>
      <c r="S186" s="6">
        <v>53</v>
      </c>
      <c r="T186" s="6">
        <v>79</v>
      </c>
      <c r="U186" s="6">
        <v>120</v>
      </c>
      <c r="V186" s="6">
        <v>212</v>
      </c>
      <c r="W186" s="6">
        <v>42</v>
      </c>
      <c r="X186" s="6">
        <v>253</v>
      </c>
      <c r="Y186" s="6">
        <v>20</v>
      </c>
      <c r="Z186" s="6">
        <v>88</v>
      </c>
      <c r="AA186" s="6">
        <v>57</v>
      </c>
      <c r="AB186" s="6">
        <v>55</v>
      </c>
      <c r="AC186" s="6">
        <v>16</v>
      </c>
      <c r="AD186" s="6">
        <v>143</v>
      </c>
      <c r="AE186" s="6">
        <v>17</v>
      </c>
    </row>
    <row r="187" spans="1:31" ht="30.75" thickBot="1" x14ac:dyDescent="0.3">
      <c r="A187" s="3">
        <v>2022</v>
      </c>
      <c r="B187" s="3">
        <v>11</v>
      </c>
      <c r="C187" s="3" t="s">
        <v>93</v>
      </c>
      <c r="D187" s="4" t="s">
        <v>35</v>
      </c>
      <c r="E187" s="3">
        <v>56</v>
      </c>
      <c r="F187" s="5">
        <v>0.62</v>
      </c>
      <c r="G187" s="6">
        <v>55</v>
      </c>
      <c r="H187" s="6">
        <v>32</v>
      </c>
      <c r="I187" s="6">
        <v>86</v>
      </c>
      <c r="J187" s="6">
        <v>90</v>
      </c>
      <c r="K187" s="6">
        <v>65</v>
      </c>
      <c r="L187" s="6">
        <v>80</v>
      </c>
      <c r="M187" s="6">
        <v>82</v>
      </c>
      <c r="N187" s="6">
        <v>85</v>
      </c>
      <c r="O187" s="6">
        <v>113</v>
      </c>
      <c r="P187" s="6">
        <v>76</v>
      </c>
      <c r="Q187" s="6">
        <v>113</v>
      </c>
      <c r="R187" s="6">
        <v>40</v>
      </c>
      <c r="S187" s="6">
        <v>38</v>
      </c>
      <c r="T187" s="6">
        <v>73</v>
      </c>
      <c r="U187" s="6">
        <v>121</v>
      </c>
      <c r="V187" s="6">
        <v>76</v>
      </c>
      <c r="W187" s="6">
        <v>85</v>
      </c>
      <c r="X187" s="6">
        <v>12</v>
      </c>
      <c r="Y187" s="6">
        <v>105</v>
      </c>
      <c r="Z187" s="6">
        <v>177</v>
      </c>
      <c r="AA187" s="6">
        <v>93</v>
      </c>
      <c r="AB187" s="6">
        <v>238</v>
      </c>
      <c r="AC187" s="6">
        <v>207</v>
      </c>
      <c r="AD187" s="6">
        <v>313</v>
      </c>
      <c r="AE187" s="6">
        <v>127</v>
      </c>
    </row>
    <row r="188" spans="1:31" ht="30.75" thickBot="1" x14ac:dyDescent="0.3">
      <c r="A188" s="3">
        <v>2022</v>
      </c>
      <c r="B188" s="3">
        <v>11</v>
      </c>
      <c r="C188" s="3" t="s">
        <v>93</v>
      </c>
      <c r="D188" s="4" t="s">
        <v>38</v>
      </c>
      <c r="E188" s="3">
        <v>69</v>
      </c>
      <c r="F188" s="5">
        <v>0.38</v>
      </c>
      <c r="G188" s="6">
        <v>28</v>
      </c>
      <c r="H188" s="6">
        <v>42</v>
      </c>
      <c r="I188" s="6">
        <v>93</v>
      </c>
      <c r="J188" s="6">
        <v>62</v>
      </c>
      <c r="K188" s="6">
        <v>43</v>
      </c>
      <c r="L188" s="6">
        <v>100</v>
      </c>
      <c r="M188" s="6">
        <v>101</v>
      </c>
      <c r="N188" s="6">
        <v>114</v>
      </c>
      <c r="O188" s="6">
        <v>93</v>
      </c>
      <c r="P188" s="6">
        <v>72</v>
      </c>
      <c r="Q188" s="6">
        <v>66</v>
      </c>
      <c r="R188" s="6">
        <v>44</v>
      </c>
      <c r="S188" s="6">
        <v>59</v>
      </c>
      <c r="T188" s="6">
        <v>70</v>
      </c>
      <c r="U188" s="6">
        <v>70</v>
      </c>
      <c r="V188" s="6">
        <v>231</v>
      </c>
      <c r="W188" s="6">
        <v>54</v>
      </c>
      <c r="X188" s="6">
        <v>93</v>
      </c>
      <c r="Y188" s="6">
        <v>157</v>
      </c>
      <c r="Z188" s="6">
        <v>468</v>
      </c>
      <c r="AA188" s="6">
        <v>119</v>
      </c>
      <c r="AB188" s="6">
        <v>281</v>
      </c>
      <c r="AC188" s="6">
        <v>130</v>
      </c>
      <c r="AD188" s="6">
        <v>10</v>
      </c>
      <c r="AE188" s="6">
        <v>77</v>
      </c>
    </row>
    <row r="189" spans="1:31" ht="30.75" thickBot="1" x14ac:dyDescent="0.3">
      <c r="A189" s="3">
        <v>2022</v>
      </c>
      <c r="B189" s="3">
        <v>11</v>
      </c>
      <c r="C189" s="3" t="s">
        <v>93</v>
      </c>
      <c r="D189" s="4" t="s">
        <v>40</v>
      </c>
      <c r="E189" s="3">
        <v>18</v>
      </c>
      <c r="F189" s="5">
        <v>0.67</v>
      </c>
      <c r="G189" s="6">
        <v>61</v>
      </c>
      <c r="H189" s="6">
        <v>8</v>
      </c>
      <c r="I189" s="6">
        <v>51</v>
      </c>
      <c r="J189" s="6">
        <v>54</v>
      </c>
      <c r="K189" s="6">
        <v>47</v>
      </c>
      <c r="L189" s="6">
        <v>71</v>
      </c>
      <c r="M189" s="6">
        <v>119</v>
      </c>
      <c r="N189" s="6">
        <v>70</v>
      </c>
      <c r="O189" s="6">
        <v>75</v>
      </c>
      <c r="P189" s="6">
        <v>71</v>
      </c>
      <c r="Q189" s="6">
        <v>62</v>
      </c>
      <c r="R189" s="6">
        <v>82</v>
      </c>
      <c r="S189" s="6">
        <v>42</v>
      </c>
      <c r="T189" s="6">
        <v>92</v>
      </c>
      <c r="U189" s="6">
        <v>65</v>
      </c>
      <c r="V189" s="6">
        <v>18</v>
      </c>
      <c r="W189" s="6">
        <v>343</v>
      </c>
      <c r="X189" s="6">
        <v>55</v>
      </c>
      <c r="Y189" s="6">
        <v>219</v>
      </c>
      <c r="Z189" s="6">
        <v>135</v>
      </c>
      <c r="AA189" s="6">
        <v>10</v>
      </c>
      <c r="AB189" s="6">
        <v>168</v>
      </c>
      <c r="AC189" s="6">
        <v>115</v>
      </c>
      <c r="AD189" s="6">
        <v>572</v>
      </c>
      <c r="AE189" s="6">
        <v>156</v>
      </c>
    </row>
    <row r="190" spans="1:31" ht="30.75" thickBot="1" x14ac:dyDescent="0.3">
      <c r="A190" s="3">
        <v>2022</v>
      </c>
      <c r="B190" s="3">
        <v>12</v>
      </c>
      <c r="C190" s="3" t="s">
        <v>100</v>
      </c>
      <c r="D190" s="4" t="s">
        <v>32</v>
      </c>
      <c r="E190" s="3">
        <v>61</v>
      </c>
      <c r="F190" s="5">
        <v>0.3</v>
      </c>
      <c r="G190" s="6">
        <v>39</v>
      </c>
      <c r="H190" s="6">
        <v>41</v>
      </c>
      <c r="I190" s="6">
        <v>69</v>
      </c>
      <c r="J190" s="6">
        <v>30</v>
      </c>
      <c r="K190" s="6">
        <v>98</v>
      </c>
      <c r="L190" s="6">
        <v>85</v>
      </c>
      <c r="M190" s="6">
        <v>108</v>
      </c>
      <c r="N190" s="6">
        <v>98</v>
      </c>
      <c r="O190" s="6">
        <v>66</v>
      </c>
      <c r="P190" s="6">
        <v>48</v>
      </c>
      <c r="Q190" s="6">
        <v>41</v>
      </c>
      <c r="R190" s="6">
        <v>50</v>
      </c>
      <c r="S190" s="6">
        <v>82</v>
      </c>
      <c r="T190" s="6">
        <v>38</v>
      </c>
      <c r="U190" s="6">
        <v>102</v>
      </c>
      <c r="V190" s="6">
        <v>31</v>
      </c>
      <c r="W190" s="6">
        <v>182</v>
      </c>
      <c r="X190" s="6">
        <v>71</v>
      </c>
      <c r="Y190" s="6">
        <v>10</v>
      </c>
      <c r="Z190" s="6">
        <v>15</v>
      </c>
      <c r="AA190" s="6">
        <v>29</v>
      </c>
      <c r="AB190" s="6">
        <v>41</v>
      </c>
      <c r="AC190" s="6">
        <v>152</v>
      </c>
      <c r="AD190" s="6">
        <v>308</v>
      </c>
      <c r="AE190" s="6">
        <v>57</v>
      </c>
    </row>
    <row r="191" spans="1:31" ht="30.75" thickBot="1" x14ac:dyDescent="0.3">
      <c r="A191" s="3">
        <v>2022</v>
      </c>
      <c r="B191" s="3">
        <v>12</v>
      </c>
      <c r="C191" s="3" t="s">
        <v>100</v>
      </c>
      <c r="D191" s="4" t="s">
        <v>35</v>
      </c>
      <c r="E191" s="3">
        <v>62</v>
      </c>
      <c r="F191" s="5">
        <v>0.73</v>
      </c>
      <c r="G191" s="6">
        <v>46</v>
      </c>
      <c r="H191" s="6">
        <v>22</v>
      </c>
      <c r="I191" s="6">
        <v>90</v>
      </c>
      <c r="J191" s="6">
        <v>86</v>
      </c>
      <c r="K191" s="6">
        <v>39</v>
      </c>
      <c r="L191" s="6">
        <v>84</v>
      </c>
      <c r="M191" s="6">
        <v>62</v>
      </c>
      <c r="N191" s="6">
        <v>42</v>
      </c>
      <c r="O191" s="6">
        <v>82</v>
      </c>
      <c r="P191" s="6">
        <v>61</v>
      </c>
      <c r="Q191" s="6">
        <v>56</v>
      </c>
      <c r="R191" s="6">
        <v>39</v>
      </c>
      <c r="S191" s="6">
        <v>104</v>
      </c>
      <c r="T191" s="6">
        <v>65</v>
      </c>
      <c r="U191" s="6">
        <v>57</v>
      </c>
      <c r="V191" s="6">
        <v>72</v>
      </c>
      <c r="W191" s="6">
        <v>210</v>
      </c>
      <c r="X191" s="6">
        <v>106</v>
      </c>
      <c r="Y191" s="6">
        <v>134</v>
      </c>
      <c r="Z191" s="6">
        <v>122</v>
      </c>
      <c r="AA191" s="6">
        <v>109</v>
      </c>
      <c r="AB191" s="6">
        <v>26</v>
      </c>
      <c r="AC191" s="6">
        <v>817</v>
      </c>
      <c r="AD191" s="6">
        <v>172</v>
      </c>
      <c r="AE191" s="6">
        <v>35</v>
      </c>
    </row>
    <row r="192" spans="1:31" ht="30.75" thickBot="1" x14ac:dyDescent="0.3">
      <c r="A192" s="3">
        <v>2022</v>
      </c>
      <c r="B192" s="3">
        <v>12</v>
      </c>
      <c r="C192" s="3" t="s">
        <v>100</v>
      </c>
      <c r="D192" s="4" t="s">
        <v>38</v>
      </c>
      <c r="E192" s="3">
        <v>42</v>
      </c>
      <c r="F192" s="5">
        <v>0.66</v>
      </c>
      <c r="G192" s="6">
        <v>57</v>
      </c>
      <c r="H192" s="6">
        <v>41</v>
      </c>
      <c r="I192" s="6">
        <v>57</v>
      </c>
      <c r="J192" s="6">
        <v>85</v>
      </c>
      <c r="K192" s="6">
        <v>149</v>
      </c>
      <c r="L192" s="6">
        <v>78</v>
      </c>
      <c r="M192" s="6">
        <v>66</v>
      </c>
      <c r="N192" s="6">
        <v>77</v>
      </c>
      <c r="O192" s="6">
        <v>120</v>
      </c>
      <c r="P192" s="6">
        <v>29</v>
      </c>
      <c r="Q192" s="6">
        <v>70</v>
      </c>
      <c r="R192" s="6">
        <v>72</v>
      </c>
      <c r="S192" s="6">
        <v>87</v>
      </c>
      <c r="T192" s="6">
        <v>86</v>
      </c>
      <c r="U192" s="6">
        <v>33</v>
      </c>
      <c r="V192" s="6">
        <v>28</v>
      </c>
      <c r="W192" s="6">
        <v>208</v>
      </c>
      <c r="X192" s="6">
        <v>124</v>
      </c>
      <c r="Y192" s="6">
        <v>170</v>
      </c>
      <c r="Z192" s="6">
        <v>212</v>
      </c>
      <c r="AA192" s="6">
        <v>72</v>
      </c>
      <c r="AB192" s="6">
        <v>11</v>
      </c>
      <c r="AC192" s="6">
        <v>136</v>
      </c>
      <c r="AD192" s="6">
        <v>298</v>
      </c>
      <c r="AE192" s="6">
        <v>585</v>
      </c>
    </row>
    <row r="193" spans="1:31" ht="30.75" thickBot="1" x14ac:dyDescent="0.3">
      <c r="A193" s="3">
        <v>2022</v>
      </c>
      <c r="B193" s="3">
        <v>12</v>
      </c>
      <c r="C193" s="3" t="s">
        <v>100</v>
      </c>
      <c r="D193" s="4" t="s">
        <v>40</v>
      </c>
      <c r="E193" s="3">
        <v>79</v>
      </c>
      <c r="F193" s="5">
        <v>0.34</v>
      </c>
      <c r="G193" s="6">
        <v>27</v>
      </c>
      <c r="H193" s="6">
        <v>13</v>
      </c>
      <c r="I193" s="6">
        <v>39</v>
      </c>
      <c r="J193" s="6">
        <v>99</v>
      </c>
      <c r="K193" s="6">
        <v>85</v>
      </c>
      <c r="L193" s="6">
        <v>54</v>
      </c>
      <c r="M193" s="6">
        <v>51</v>
      </c>
      <c r="N193" s="6">
        <v>88</v>
      </c>
      <c r="O193" s="6">
        <v>85</v>
      </c>
      <c r="P193" s="6">
        <v>62</v>
      </c>
      <c r="Q193" s="6">
        <v>101</v>
      </c>
      <c r="R193" s="6">
        <v>131</v>
      </c>
      <c r="S193" s="6">
        <v>118</v>
      </c>
      <c r="T193" s="6">
        <v>26</v>
      </c>
      <c r="U193" s="6">
        <v>121</v>
      </c>
      <c r="V193" s="6">
        <v>144</v>
      </c>
      <c r="W193" s="6">
        <v>80</v>
      </c>
      <c r="X193" s="6">
        <v>102</v>
      </c>
      <c r="Y193" s="6">
        <v>372</v>
      </c>
      <c r="Z193" s="6">
        <v>85</v>
      </c>
      <c r="AA193" s="6">
        <v>44</v>
      </c>
      <c r="AB193" s="6">
        <v>200</v>
      </c>
      <c r="AC193" s="6">
        <v>13</v>
      </c>
      <c r="AD193" s="6">
        <v>123</v>
      </c>
      <c r="AE193" s="6">
        <v>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9BF7-9F1A-4854-85C0-56F72775D4BC}">
  <dimension ref="A1:Z65"/>
  <sheetViews>
    <sheetView topLeftCell="F6" zoomScaleNormal="100" workbookViewId="0">
      <selection activeCell="AA40" sqref="AA40"/>
    </sheetView>
  </sheetViews>
  <sheetFormatPr defaultRowHeight="15" x14ac:dyDescent="0.25"/>
  <cols>
    <col min="1" max="1" width="13.42578125" bestFit="1" customWidth="1"/>
    <col min="2" max="2" width="27.140625" bestFit="1" customWidth="1"/>
    <col min="3" max="3" width="3" bestFit="1" customWidth="1"/>
    <col min="4" max="4" width="13.42578125" bestFit="1" customWidth="1"/>
    <col min="5" max="5" width="25.140625" bestFit="1" customWidth="1"/>
    <col min="6" max="6" width="22" bestFit="1" customWidth="1"/>
    <col min="7" max="7" width="13.42578125" bestFit="1" customWidth="1"/>
    <col min="8" max="8" width="21.42578125" bestFit="1" customWidth="1"/>
    <col min="9" max="10" width="3" bestFit="1" customWidth="1"/>
    <col min="11" max="11" width="13.42578125" bestFit="1" customWidth="1"/>
    <col min="12" max="12" width="18" bestFit="1" customWidth="1"/>
    <col min="13" max="13" width="17.42578125" bestFit="1" customWidth="1"/>
    <col min="14" max="14" width="16" bestFit="1" customWidth="1"/>
    <col min="15" max="15" width="14.42578125" bestFit="1" customWidth="1"/>
    <col min="16" max="16" width="15.7109375" bestFit="1" customWidth="1"/>
    <col min="17" max="17" width="14.5703125" bestFit="1" customWidth="1"/>
    <col min="18" max="18" width="18.5703125" bestFit="1" customWidth="1"/>
    <col min="19" max="19" width="18" bestFit="1" customWidth="1"/>
    <col min="20" max="20" width="16.5703125" bestFit="1" customWidth="1"/>
    <col min="21" max="21" width="15" bestFit="1" customWidth="1"/>
    <col min="22" max="22" width="16.28515625" bestFit="1" customWidth="1"/>
    <col min="23" max="23" width="15.140625" bestFit="1" customWidth="1"/>
    <col min="24" max="24" width="17.42578125" bestFit="1" customWidth="1"/>
    <col min="25" max="25" width="16.28515625" bestFit="1" customWidth="1"/>
    <col min="26" max="26" width="15.140625" bestFit="1" customWidth="1"/>
    <col min="27" max="73" width="3" bestFit="1" customWidth="1"/>
    <col min="74" max="93" width="4" bestFit="1" customWidth="1"/>
    <col min="94" max="94" width="11.28515625" bestFit="1" customWidth="1"/>
    <col min="95" max="95" width="4" bestFit="1" customWidth="1"/>
    <col min="96" max="96" width="6.85546875" bestFit="1" customWidth="1"/>
    <col min="97" max="110" width="4" bestFit="1" customWidth="1"/>
    <col min="111" max="111" width="6.85546875" bestFit="1" customWidth="1"/>
    <col min="112" max="126" width="4" bestFit="1" customWidth="1"/>
    <col min="127" max="127" width="6.85546875" bestFit="1" customWidth="1"/>
    <col min="128" max="143" width="4" bestFit="1" customWidth="1"/>
    <col min="144" max="144" width="6.85546875" bestFit="1" customWidth="1"/>
    <col min="145" max="159" width="4.85546875" bestFit="1" customWidth="1"/>
    <col min="160" max="160" width="7.85546875" bestFit="1" customWidth="1"/>
    <col min="161" max="175" width="4.85546875" bestFit="1" customWidth="1"/>
    <col min="176" max="176" width="7.85546875" bestFit="1" customWidth="1"/>
    <col min="177" max="191" width="4.85546875" bestFit="1" customWidth="1"/>
    <col min="192" max="192" width="7.85546875" bestFit="1" customWidth="1"/>
    <col min="193" max="193" width="11.28515625" bestFit="1" customWidth="1"/>
  </cols>
  <sheetData>
    <row r="1" spans="1:26" x14ac:dyDescent="0.25">
      <c r="A1" s="7" t="s">
        <v>0</v>
      </c>
      <c r="B1" t="s">
        <v>152</v>
      </c>
      <c r="D1" s="7" t="s">
        <v>0</v>
      </c>
      <c r="E1" t="s">
        <v>152</v>
      </c>
    </row>
    <row r="3" spans="1:26" x14ac:dyDescent="0.25">
      <c r="A3" s="7" t="s">
        <v>134</v>
      </c>
      <c r="B3" t="s">
        <v>135</v>
      </c>
      <c r="D3" s="7" t="s">
        <v>134</v>
      </c>
      <c r="E3" s="12" t="s">
        <v>153</v>
      </c>
      <c r="G3" s="7" t="s">
        <v>134</v>
      </c>
      <c r="H3" t="s">
        <v>157</v>
      </c>
      <c r="K3" s="7" t="s">
        <v>134</v>
      </c>
      <c r="L3" t="s">
        <v>157</v>
      </c>
      <c r="M3" t="s">
        <v>163</v>
      </c>
      <c r="O3" t="s">
        <v>167</v>
      </c>
      <c r="P3" t="s">
        <v>168</v>
      </c>
      <c r="Q3" t="s">
        <v>169</v>
      </c>
      <c r="R3" t="s">
        <v>170</v>
      </c>
      <c r="S3" t="s">
        <v>171</v>
      </c>
      <c r="T3" t="s">
        <v>172</v>
      </c>
      <c r="U3" t="s">
        <v>173</v>
      </c>
      <c r="V3" t="s">
        <v>174</v>
      </c>
      <c r="W3" t="s">
        <v>175</v>
      </c>
      <c r="X3" t="s">
        <v>176</v>
      </c>
      <c r="Y3" t="s">
        <v>177</v>
      </c>
      <c r="Z3" t="s">
        <v>178</v>
      </c>
    </row>
    <row r="4" spans="1:26" x14ac:dyDescent="0.25">
      <c r="A4" s="9">
        <v>1</v>
      </c>
      <c r="B4" s="8">
        <v>924</v>
      </c>
      <c r="D4" s="9">
        <v>1</v>
      </c>
      <c r="E4" s="12">
        <v>0.51749999999999996</v>
      </c>
      <c r="G4" s="9">
        <v>2022</v>
      </c>
      <c r="H4" s="8">
        <v>2777</v>
      </c>
      <c r="K4" s="9" t="s">
        <v>31</v>
      </c>
      <c r="L4" s="8">
        <v>846</v>
      </c>
      <c r="M4" s="8">
        <v>290</v>
      </c>
      <c r="O4" s="8">
        <v>13575</v>
      </c>
      <c r="P4" s="8">
        <v>14840</v>
      </c>
      <c r="Q4" s="8">
        <v>15033</v>
      </c>
      <c r="R4" s="8">
        <v>16196</v>
      </c>
      <c r="S4" s="8">
        <v>15026</v>
      </c>
      <c r="T4" s="8">
        <v>14953</v>
      </c>
      <c r="U4" s="8">
        <v>15376</v>
      </c>
      <c r="V4" s="8">
        <v>15303</v>
      </c>
      <c r="W4" s="8">
        <v>15865</v>
      </c>
      <c r="X4" s="8">
        <v>14686</v>
      </c>
      <c r="Y4" s="8">
        <v>13453</v>
      </c>
      <c r="Z4" s="8">
        <v>14101</v>
      </c>
    </row>
    <row r="5" spans="1:26" x14ac:dyDescent="0.25">
      <c r="A5" s="9">
        <v>2</v>
      </c>
      <c r="B5" s="8">
        <v>929</v>
      </c>
      <c r="D5" s="9">
        <v>2</v>
      </c>
      <c r="E5" s="12">
        <v>0.54562499999999992</v>
      </c>
      <c r="G5" s="9">
        <v>2023</v>
      </c>
      <c r="H5" s="8">
        <v>3827</v>
      </c>
      <c r="K5" s="9" t="s">
        <v>42</v>
      </c>
      <c r="L5" s="8">
        <v>738</v>
      </c>
      <c r="M5" s="8">
        <v>232</v>
      </c>
    </row>
    <row r="6" spans="1:26" x14ac:dyDescent="0.25">
      <c r="A6" s="9">
        <v>3</v>
      </c>
      <c r="B6" s="8">
        <v>876</v>
      </c>
      <c r="D6" s="9">
        <v>3</v>
      </c>
      <c r="E6" s="12">
        <v>0.52812499999999996</v>
      </c>
      <c r="G6" s="9">
        <v>2024</v>
      </c>
      <c r="H6" s="8">
        <v>1125</v>
      </c>
      <c r="K6" s="9" t="s">
        <v>50</v>
      </c>
      <c r="L6" s="8">
        <v>710</v>
      </c>
      <c r="M6" s="8">
        <v>198</v>
      </c>
    </row>
    <row r="7" spans="1:26" x14ac:dyDescent="0.25">
      <c r="A7" s="9">
        <v>4</v>
      </c>
      <c r="B7" s="8">
        <v>864</v>
      </c>
      <c r="D7" s="9">
        <v>4</v>
      </c>
      <c r="E7" s="12">
        <v>0.52812499999999996</v>
      </c>
      <c r="G7" s="9">
        <v>2025</v>
      </c>
      <c r="H7" s="8">
        <v>1195</v>
      </c>
      <c r="K7" s="9" t="s">
        <v>58</v>
      </c>
      <c r="L7" s="8">
        <v>549</v>
      </c>
      <c r="M7" s="8">
        <v>223</v>
      </c>
    </row>
    <row r="8" spans="1:26" x14ac:dyDescent="0.25">
      <c r="A8" s="9">
        <v>5</v>
      </c>
      <c r="B8" s="8">
        <v>712</v>
      </c>
      <c r="D8" s="9">
        <v>5</v>
      </c>
      <c r="E8" s="12">
        <v>0.50624999999999998</v>
      </c>
      <c r="G8" s="9" t="s">
        <v>133</v>
      </c>
      <c r="H8" s="8">
        <v>8924</v>
      </c>
      <c r="K8" s="9" t="s">
        <v>65</v>
      </c>
      <c r="L8" s="8">
        <v>637</v>
      </c>
      <c r="M8" s="8">
        <v>218</v>
      </c>
    </row>
    <row r="9" spans="1:26" x14ac:dyDescent="0.25">
      <c r="A9" s="9">
        <v>6</v>
      </c>
      <c r="B9" s="8">
        <v>1020</v>
      </c>
      <c r="D9" s="9">
        <v>6</v>
      </c>
      <c r="E9" s="12">
        <v>0.51125000000000009</v>
      </c>
      <c r="K9" s="9" t="s">
        <v>71</v>
      </c>
      <c r="L9" s="8">
        <v>633</v>
      </c>
      <c r="M9" s="8">
        <v>247</v>
      </c>
    </row>
    <row r="10" spans="1:26" x14ac:dyDescent="0.25">
      <c r="A10" s="9">
        <v>7</v>
      </c>
      <c r="B10" s="8">
        <v>1167</v>
      </c>
      <c r="D10" s="9">
        <v>7</v>
      </c>
      <c r="E10" s="12">
        <v>0.55125000000000002</v>
      </c>
      <c r="K10" s="9" t="s">
        <v>76</v>
      </c>
      <c r="L10" s="8">
        <v>788</v>
      </c>
      <c r="M10" s="8">
        <v>215</v>
      </c>
    </row>
    <row r="11" spans="1:26" x14ac:dyDescent="0.25">
      <c r="A11" s="9">
        <v>8</v>
      </c>
      <c r="B11" s="8">
        <v>1260</v>
      </c>
      <c r="D11" s="9">
        <v>8</v>
      </c>
      <c r="E11" s="12">
        <v>0.48624999999999996</v>
      </c>
      <c r="K11" s="9" t="s">
        <v>81</v>
      </c>
      <c r="L11" s="8">
        <v>759</v>
      </c>
      <c r="M11" s="8">
        <v>228</v>
      </c>
    </row>
    <row r="12" spans="1:26" x14ac:dyDescent="0.25">
      <c r="A12" s="9">
        <v>9</v>
      </c>
      <c r="B12" s="8">
        <v>868</v>
      </c>
      <c r="D12" s="9">
        <v>9</v>
      </c>
      <c r="E12" s="12">
        <v>0.57687499999999992</v>
      </c>
      <c r="K12" s="9" t="s">
        <v>87</v>
      </c>
      <c r="L12" s="8">
        <v>851</v>
      </c>
      <c r="M12" s="8">
        <v>245</v>
      </c>
    </row>
    <row r="13" spans="1:26" x14ac:dyDescent="0.25">
      <c r="A13" s="9">
        <v>10</v>
      </c>
      <c r="B13" s="8">
        <v>1222</v>
      </c>
      <c r="D13" s="9">
        <v>10</v>
      </c>
      <c r="E13" s="12">
        <v>0.520625</v>
      </c>
      <c r="K13" s="9" t="s">
        <v>90</v>
      </c>
      <c r="L13" s="8">
        <v>1011</v>
      </c>
      <c r="M13" s="8">
        <v>233</v>
      </c>
    </row>
    <row r="14" spans="1:26" x14ac:dyDescent="0.25">
      <c r="A14" s="9">
        <v>11</v>
      </c>
      <c r="B14" s="8">
        <v>957</v>
      </c>
      <c r="D14" s="9">
        <v>11</v>
      </c>
      <c r="E14" s="12">
        <v>0.56625000000000014</v>
      </c>
      <c r="K14" s="9" t="s">
        <v>93</v>
      </c>
      <c r="L14" s="8">
        <v>816</v>
      </c>
      <c r="M14" s="8">
        <v>282</v>
      </c>
    </row>
    <row r="15" spans="1:26" x14ac:dyDescent="0.25">
      <c r="A15" s="9">
        <v>12</v>
      </c>
      <c r="B15" s="8">
        <v>1102</v>
      </c>
      <c r="D15" s="9">
        <v>12</v>
      </c>
      <c r="E15" s="12">
        <v>0.48687499999999995</v>
      </c>
      <c r="K15" s="9" t="s">
        <v>100</v>
      </c>
      <c r="L15" s="8">
        <v>586</v>
      </c>
      <c r="M15" s="8">
        <v>291</v>
      </c>
    </row>
    <row r="16" spans="1:26" x14ac:dyDescent="0.25">
      <c r="A16" s="9" t="s">
        <v>133</v>
      </c>
      <c r="B16" s="8">
        <v>11901</v>
      </c>
      <c r="D16" s="9" t="s">
        <v>133</v>
      </c>
      <c r="E16" s="12">
        <v>0.52708333333333335</v>
      </c>
      <c r="K16" s="9" t="s">
        <v>133</v>
      </c>
      <c r="L16" s="8">
        <v>8924</v>
      </c>
      <c r="M16" s="8">
        <v>2902</v>
      </c>
    </row>
    <row r="18" spans="1:24" x14ac:dyDescent="0.25">
      <c r="A18" s="7" t="s">
        <v>0</v>
      </c>
      <c r="B18" t="s">
        <v>152</v>
      </c>
    </row>
    <row r="20" spans="1:24" x14ac:dyDescent="0.25">
      <c r="A20" s="7" t="s">
        <v>134</v>
      </c>
      <c r="B20" t="s">
        <v>135</v>
      </c>
      <c r="G20" s="7" t="s">
        <v>134</v>
      </c>
      <c r="H20" t="s">
        <v>157</v>
      </c>
      <c r="K20" s="7" t="s">
        <v>134</v>
      </c>
      <c r="L20" t="s">
        <v>157</v>
      </c>
      <c r="M20" t="s">
        <v>163</v>
      </c>
    </row>
    <row r="21" spans="1:24" x14ac:dyDescent="0.25">
      <c r="A21" s="9">
        <v>1</v>
      </c>
      <c r="B21" s="8">
        <v>924</v>
      </c>
      <c r="G21" s="9" t="s">
        <v>35</v>
      </c>
      <c r="H21" s="8">
        <v>2283</v>
      </c>
      <c r="K21" s="9" t="s">
        <v>31</v>
      </c>
      <c r="L21" s="8">
        <v>846</v>
      </c>
      <c r="M21" s="8">
        <v>290</v>
      </c>
    </row>
    <row r="22" spans="1:24" x14ac:dyDescent="0.25">
      <c r="A22" s="9">
        <v>2</v>
      </c>
      <c r="B22" s="8">
        <v>929</v>
      </c>
      <c r="G22" s="9" t="s">
        <v>32</v>
      </c>
      <c r="H22" s="8">
        <v>1949</v>
      </c>
      <c r="K22" s="9" t="s">
        <v>42</v>
      </c>
      <c r="L22" s="8">
        <v>738</v>
      </c>
      <c r="M22" s="8">
        <v>232</v>
      </c>
      <c r="O22" t="s">
        <v>189</v>
      </c>
      <c r="P22" t="s">
        <v>190</v>
      </c>
      <c r="Q22" t="s">
        <v>191</v>
      </c>
      <c r="R22" t="s">
        <v>192</v>
      </c>
      <c r="S22" t="s">
        <v>193</v>
      </c>
      <c r="T22" t="s">
        <v>194</v>
      </c>
      <c r="U22" t="s">
        <v>195</v>
      </c>
      <c r="V22" t="s">
        <v>196</v>
      </c>
      <c r="W22" t="s">
        <v>197</v>
      </c>
      <c r="X22" t="s">
        <v>198</v>
      </c>
    </row>
    <row r="23" spans="1:24" x14ac:dyDescent="0.25">
      <c r="A23" s="9">
        <v>3</v>
      </c>
      <c r="B23" s="8">
        <v>876</v>
      </c>
      <c r="G23" s="9" t="s">
        <v>38</v>
      </c>
      <c r="H23" s="8">
        <v>2568</v>
      </c>
      <c r="K23" s="9" t="s">
        <v>50</v>
      </c>
      <c r="L23" s="8">
        <v>710</v>
      </c>
      <c r="M23" s="8">
        <v>198</v>
      </c>
      <c r="O23" s="8">
        <v>29833</v>
      </c>
      <c r="P23" s="8">
        <v>30756</v>
      </c>
      <c r="Q23" s="8">
        <v>44257</v>
      </c>
      <c r="R23" s="8">
        <v>28948</v>
      </c>
      <c r="S23" s="8">
        <v>28255</v>
      </c>
      <c r="T23" s="8">
        <v>25959</v>
      </c>
      <c r="U23" s="8">
        <v>33084</v>
      </c>
      <c r="V23" s="8">
        <v>23362</v>
      </c>
      <c r="W23" s="8">
        <v>29292</v>
      </c>
      <c r="X23" s="8">
        <v>26322</v>
      </c>
    </row>
    <row r="24" spans="1:24" x14ac:dyDescent="0.25">
      <c r="A24" s="9">
        <v>4</v>
      </c>
      <c r="B24" s="8">
        <v>864</v>
      </c>
      <c r="G24" s="9" t="s">
        <v>40</v>
      </c>
      <c r="H24" s="8">
        <v>2124</v>
      </c>
      <c r="K24" s="9" t="s">
        <v>58</v>
      </c>
      <c r="L24" s="8">
        <v>549</v>
      </c>
      <c r="M24" s="8">
        <v>223</v>
      </c>
    </row>
    <row r="25" spans="1:24" x14ac:dyDescent="0.25">
      <c r="A25" s="9">
        <v>5</v>
      </c>
      <c r="B25" s="8">
        <v>712</v>
      </c>
      <c r="G25" s="9" t="s">
        <v>133</v>
      </c>
      <c r="H25" s="8">
        <v>8924</v>
      </c>
      <c r="K25" s="9" t="s">
        <v>65</v>
      </c>
      <c r="L25" s="8">
        <v>637</v>
      </c>
      <c r="M25" s="8">
        <v>218</v>
      </c>
    </row>
    <row r="26" spans="1:24" x14ac:dyDescent="0.25">
      <c r="A26" s="9">
        <v>6</v>
      </c>
      <c r="B26" s="8">
        <v>1020</v>
      </c>
      <c r="K26" s="9" t="s">
        <v>71</v>
      </c>
      <c r="L26" s="8">
        <v>633</v>
      </c>
      <c r="M26" s="8">
        <v>247</v>
      </c>
    </row>
    <row r="27" spans="1:24" x14ac:dyDescent="0.25">
      <c r="A27" s="9">
        <v>7</v>
      </c>
      <c r="B27" s="8">
        <v>1167</v>
      </c>
      <c r="G27" s="7" t="s">
        <v>134</v>
      </c>
      <c r="H27" t="s">
        <v>157</v>
      </c>
      <c r="K27" s="9" t="s">
        <v>76</v>
      </c>
      <c r="L27" s="8">
        <v>788</v>
      </c>
      <c r="M27" s="8">
        <v>215</v>
      </c>
    </row>
    <row r="28" spans="1:24" x14ac:dyDescent="0.25">
      <c r="A28" s="9">
        <v>8</v>
      </c>
      <c r="B28" s="8">
        <v>1260</v>
      </c>
      <c r="G28" s="9" t="s">
        <v>35</v>
      </c>
      <c r="H28" s="8">
        <v>2283</v>
      </c>
      <c r="K28" s="9" t="s">
        <v>81</v>
      </c>
      <c r="L28" s="8">
        <v>759</v>
      </c>
      <c r="M28" s="8">
        <v>228</v>
      </c>
    </row>
    <row r="29" spans="1:24" x14ac:dyDescent="0.25">
      <c r="A29" s="9">
        <v>9</v>
      </c>
      <c r="B29" s="8">
        <v>868</v>
      </c>
      <c r="G29" s="9" t="s">
        <v>32</v>
      </c>
      <c r="H29" s="8">
        <v>1949</v>
      </c>
      <c r="K29" s="9" t="s">
        <v>87</v>
      </c>
      <c r="L29" s="8">
        <v>851</v>
      </c>
      <c r="M29" s="8">
        <v>245</v>
      </c>
    </row>
    <row r="30" spans="1:24" x14ac:dyDescent="0.25">
      <c r="A30" s="9">
        <v>10</v>
      </c>
      <c r="B30" s="8">
        <v>1222</v>
      </c>
      <c r="G30" s="9" t="s">
        <v>38</v>
      </c>
      <c r="H30" s="8">
        <v>2568</v>
      </c>
      <c r="K30" s="9" t="s">
        <v>90</v>
      </c>
      <c r="L30" s="8">
        <v>1011</v>
      </c>
      <c r="M30" s="8">
        <v>233</v>
      </c>
    </row>
    <row r="31" spans="1:24" x14ac:dyDescent="0.25">
      <c r="A31" s="9">
        <v>11</v>
      </c>
      <c r="B31" s="8">
        <v>957</v>
      </c>
      <c r="G31" s="9" t="s">
        <v>40</v>
      </c>
      <c r="H31" s="8">
        <v>2124</v>
      </c>
      <c r="K31" s="9" t="s">
        <v>93</v>
      </c>
      <c r="L31" s="8">
        <v>816</v>
      </c>
      <c r="M31" s="8">
        <v>282</v>
      </c>
    </row>
    <row r="32" spans="1:24" x14ac:dyDescent="0.25">
      <c r="A32" s="9">
        <v>12</v>
      </c>
      <c r="B32" s="8">
        <v>1102</v>
      </c>
      <c r="G32" s="9" t="s">
        <v>133</v>
      </c>
      <c r="H32" s="8">
        <v>8924</v>
      </c>
      <c r="K32" s="9" t="s">
        <v>100</v>
      </c>
      <c r="L32" s="8">
        <v>586</v>
      </c>
      <c r="M32" s="8">
        <v>291</v>
      </c>
    </row>
    <row r="33" spans="1:23" x14ac:dyDescent="0.25">
      <c r="A33" s="9" t="s">
        <v>133</v>
      </c>
      <c r="B33" s="8">
        <v>11901</v>
      </c>
      <c r="K33" s="9" t="s">
        <v>133</v>
      </c>
      <c r="L33" s="8">
        <v>8924</v>
      </c>
      <c r="M33" s="8">
        <v>2902</v>
      </c>
    </row>
    <row r="37" spans="1:23" x14ac:dyDescent="0.25">
      <c r="G37" s="7" t="s">
        <v>134</v>
      </c>
      <c r="H37" t="s">
        <v>200</v>
      </c>
    </row>
    <row r="38" spans="1:23" x14ac:dyDescent="0.25">
      <c r="G38" s="9" t="s">
        <v>31</v>
      </c>
      <c r="H38" s="8">
        <v>809</v>
      </c>
    </row>
    <row r="39" spans="1:23" x14ac:dyDescent="0.25">
      <c r="G39" s="9" t="s">
        <v>42</v>
      </c>
      <c r="H39" s="8">
        <v>1036</v>
      </c>
      <c r="K39" s="7" t="s">
        <v>134</v>
      </c>
      <c r="L39" t="s">
        <v>167</v>
      </c>
      <c r="M39" t="s">
        <v>168</v>
      </c>
      <c r="N39" t="s">
        <v>169</v>
      </c>
      <c r="O39" t="s">
        <v>170</v>
      </c>
      <c r="P39" t="s">
        <v>171</v>
      </c>
      <c r="Q39" t="s">
        <v>172</v>
      </c>
      <c r="R39" t="s">
        <v>173</v>
      </c>
      <c r="S39" t="s">
        <v>174</v>
      </c>
      <c r="T39" t="s">
        <v>175</v>
      </c>
      <c r="U39" t="s">
        <v>176</v>
      </c>
      <c r="V39" t="s">
        <v>177</v>
      </c>
      <c r="W39" t="s">
        <v>178</v>
      </c>
    </row>
    <row r="40" spans="1:23" x14ac:dyDescent="0.25">
      <c r="G40" s="9" t="s">
        <v>50</v>
      </c>
      <c r="H40" s="8">
        <v>920</v>
      </c>
      <c r="K40" s="9">
        <v>1</v>
      </c>
      <c r="L40" s="8">
        <v>1341</v>
      </c>
      <c r="M40" s="8">
        <v>1356</v>
      </c>
      <c r="N40" s="8">
        <v>1213</v>
      </c>
      <c r="O40" s="8">
        <v>1479</v>
      </c>
      <c r="P40" s="8">
        <v>1082</v>
      </c>
      <c r="Q40" s="8">
        <v>1075</v>
      </c>
      <c r="R40" s="8">
        <v>1214</v>
      </c>
      <c r="S40" s="8">
        <v>1333</v>
      </c>
      <c r="T40" s="8">
        <v>1227</v>
      </c>
      <c r="U40" s="8">
        <v>1243</v>
      </c>
      <c r="V40" s="8">
        <v>1191</v>
      </c>
      <c r="W40" s="8">
        <v>1243</v>
      </c>
    </row>
    <row r="41" spans="1:23" x14ac:dyDescent="0.25">
      <c r="G41" s="9" t="s">
        <v>58</v>
      </c>
      <c r="H41" s="8">
        <v>1105</v>
      </c>
      <c r="K41" s="9">
        <v>2</v>
      </c>
      <c r="L41" s="8">
        <v>1173</v>
      </c>
      <c r="M41" s="8">
        <v>1261</v>
      </c>
      <c r="N41" s="8">
        <v>1313</v>
      </c>
      <c r="O41" s="8">
        <v>1510</v>
      </c>
      <c r="P41" s="8">
        <v>1156</v>
      </c>
      <c r="Q41" s="8">
        <v>1345</v>
      </c>
      <c r="R41" s="8">
        <v>1242</v>
      </c>
      <c r="S41" s="8">
        <v>1265</v>
      </c>
      <c r="T41" s="8">
        <v>1197</v>
      </c>
      <c r="U41" s="8">
        <v>1266</v>
      </c>
      <c r="V41" s="8">
        <v>1091</v>
      </c>
      <c r="W41" s="8">
        <v>1172</v>
      </c>
    </row>
    <row r="42" spans="1:23" x14ac:dyDescent="0.25">
      <c r="G42" s="9" t="s">
        <v>65</v>
      </c>
      <c r="H42" s="8">
        <v>1043</v>
      </c>
      <c r="K42" s="9">
        <v>3</v>
      </c>
      <c r="L42" s="8">
        <v>1043</v>
      </c>
      <c r="M42" s="8">
        <v>1318</v>
      </c>
      <c r="N42" s="8">
        <v>1156</v>
      </c>
      <c r="O42" s="8">
        <v>1092</v>
      </c>
      <c r="P42" s="8">
        <v>1324</v>
      </c>
      <c r="Q42" s="8">
        <v>1358</v>
      </c>
      <c r="R42" s="8">
        <v>1412</v>
      </c>
      <c r="S42" s="8">
        <v>1277</v>
      </c>
      <c r="T42" s="8">
        <v>1362</v>
      </c>
      <c r="U42" s="8">
        <v>1290</v>
      </c>
      <c r="V42" s="8">
        <v>1091</v>
      </c>
      <c r="W42" s="8">
        <v>1125</v>
      </c>
    </row>
    <row r="43" spans="1:23" x14ac:dyDescent="0.25">
      <c r="G43" s="9" t="s">
        <v>71</v>
      </c>
      <c r="H43" s="8">
        <v>1012</v>
      </c>
      <c r="K43" s="9">
        <v>4</v>
      </c>
      <c r="L43" s="8">
        <v>1193</v>
      </c>
      <c r="M43" s="8">
        <v>1216</v>
      </c>
      <c r="N43" s="8">
        <v>1287</v>
      </c>
      <c r="O43" s="8">
        <v>1293</v>
      </c>
      <c r="P43" s="8">
        <v>1174</v>
      </c>
      <c r="Q43" s="8">
        <v>1144</v>
      </c>
      <c r="R43" s="8">
        <v>1092</v>
      </c>
      <c r="S43" s="8">
        <v>1282</v>
      </c>
      <c r="T43" s="8">
        <v>1405</v>
      </c>
      <c r="U43" s="8">
        <v>1099</v>
      </c>
      <c r="V43" s="8">
        <v>1153</v>
      </c>
      <c r="W43" s="8">
        <v>1176</v>
      </c>
    </row>
    <row r="44" spans="1:23" x14ac:dyDescent="0.25">
      <c r="G44" s="9" t="s">
        <v>76</v>
      </c>
      <c r="H44" s="8">
        <v>1173</v>
      </c>
      <c r="K44" s="9">
        <v>5</v>
      </c>
      <c r="L44" s="8">
        <v>1344</v>
      </c>
      <c r="M44" s="8">
        <v>1014</v>
      </c>
      <c r="N44" s="8">
        <v>1264</v>
      </c>
      <c r="O44" s="8">
        <v>1347</v>
      </c>
      <c r="P44" s="8">
        <v>1184</v>
      </c>
      <c r="Q44" s="8">
        <v>1237</v>
      </c>
      <c r="R44" s="8">
        <v>1196</v>
      </c>
      <c r="S44" s="8">
        <v>1131</v>
      </c>
      <c r="T44" s="8">
        <v>1135</v>
      </c>
      <c r="U44" s="8">
        <v>1294</v>
      </c>
      <c r="V44" s="8">
        <v>878</v>
      </c>
      <c r="W44" s="8">
        <v>1223</v>
      </c>
    </row>
    <row r="45" spans="1:23" x14ac:dyDescent="0.25">
      <c r="G45" s="9" t="s">
        <v>81</v>
      </c>
      <c r="H45" s="8">
        <v>1144</v>
      </c>
      <c r="K45" s="9">
        <v>6</v>
      </c>
      <c r="L45" s="8">
        <v>1154</v>
      </c>
      <c r="M45" s="8">
        <v>1187</v>
      </c>
      <c r="N45" s="8">
        <v>1302</v>
      </c>
      <c r="O45" s="8">
        <v>1359</v>
      </c>
      <c r="P45" s="8">
        <v>1381</v>
      </c>
      <c r="Q45" s="8">
        <v>1315</v>
      </c>
      <c r="R45" s="8">
        <v>1349</v>
      </c>
      <c r="S45" s="8">
        <v>1220</v>
      </c>
      <c r="T45" s="8">
        <v>1256</v>
      </c>
      <c r="U45" s="8">
        <v>1218</v>
      </c>
      <c r="V45" s="8">
        <v>1057</v>
      </c>
      <c r="W45" s="8">
        <v>1260</v>
      </c>
    </row>
    <row r="46" spans="1:23" x14ac:dyDescent="0.25">
      <c r="G46" s="9" t="s">
        <v>87</v>
      </c>
      <c r="H46" s="8">
        <v>1226</v>
      </c>
      <c r="K46" s="9">
        <v>7</v>
      </c>
      <c r="L46" s="8">
        <v>902</v>
      </c>
      <c r="M46" s="8">
        <v>1113</v>
      </c>
      <c r="N46" s="8">
        <v>1428</v>
      </c>
      <c r="O46" s="8">
        <v>1465</v>
      </c>
      <c r="P46" s="8">
        <v>1181</v>
      </c>
      <c r="Q46" s="8">
        <v>1253</v>
      </c>
      <c r="R46" s="8">
        <v>1166</v>
      </c>
      <c r="S46" s="8">
        <v>1413</v>
      </c>
      <c r="T46" s="8">
        <v>1362</v>
      </c>
      <c r="U46" s="8">
        <v>1296</v>
      </c>
      <c r="V46" s="8">
        <v>1171</v>
      </c>
      <c r="W46" s="8">
        <v>1086</v>
      </c>
    </row>
    <row r="47" spans="1:23" x14ac:dyDescent="0.25">
      <c r="G47" s="9" t="s">
        <v>90</v>
      </c>
      <c r="H47" s="8">
        <v>1421</v>
      </c>
      <c r="K47" s="9">
        <v>8</v>
      </c>
      <c r="L47" s="8">
        <v>1058</v>
      </c>
      <c r="M47" s="8">
        <v>1286</v>
      </c>
      <c r="N47" s="8">
        <v>1158</v>
      </c>
      <c r="O47" s="8">
        <v>1430</v>
      </c>
      <c r="P47" s="8">
        <v>1300</v>
      </c>
      <c r="Q47" s="8">
        <v>1209</v>
      </c>
      <c r="R47" s="8">
        <v>1508</v>
      </c>
      <c r="S47" s="8">
        <v>1418</v>
      </c>
      <c r="T47" s="8">
        <v>1477</v>
      </c>
      <c r="U47" s="8">
        <v>1032</v>
      </c>
      <c r="V47" s="8">
        <v>1125</v>
      </c>
      <c r="W47" s="8">
        <v>1193</v>
      </c>
    </row>
    <row r="48" spans="1:23" x14ac:dyDescent="0.25">
      <c r="G48" s="9" t="s">
        <v>93</v>
      </c>
      <c r="H48" s="8">
        <v>1339</v>
      </c>
      <c r="K48" s="9">
        <v>9</v>
      </c>
      <c r="L48" s="8">
        <v>1108</v>
      </c>
      <c r="M48" s="8">
        <v>1382</v>
      </c>
      <c r="N48" s="8">
        <v>1087</v>
      </c>
      <c r="O48" s="8">
        <v>1261</v>
      </c>
      <c r="P48" s="8">
        <v>1274</v>
      </c>
      <c r="Q48" s="8">
        <v>1153</v>
      </c>
      <c r="R48" s="8">
        <v>1372</v>
      </c>
      <c r="S48" s="8">
        <v>1228</v>
      </c>
      <c r="T48" s="8">
        <v>1255</v>
      </c>
      <c r="U48" s="8">
        <v>1170</v>
      </c>
      <c r="V48" s="8">
        <v>1373</v>
      </c>
      <c r="W48" s="8">
        <v>1266</v>
      </c>
    </row>
    <row r="49" spans="7:23" x14ac:dyDescent="0.25">
      <c r="G49" s="9" t="s">
        <v>100</v>
      </c>
      <c r="H49" s="8">
        <v>1436</v>
      </c>
      <c r="K49" s="9">
        <v>10</v>
      </c>
      <c r="L49" s="8">
        <v>902</v>
      </c>
      <c r="M49" s="8">
        <v>1389</v>
      </c>
      <c r="N49" s="8">
        <v>1256</v>
      </c>
      <c r="O49" s="8">
        <v>1213</v>
      </c>
      <c r="P49" s="8">
        <v>1133</v>
      </c>
      <c r="Q49" s="8">
        <v>1325</v>
      </c>
      <c r="R49" s="8">
        <v>1215</v>
      </c>
      <c r="S49" s="8">
        <v>1308</v>
      </c>
      <c r="T49" s="8">
        <v>1328</v>
      </c>
      <c r="U49" s="8">
        <v>1177</v>
      </c>
      <c r="V49" s="8">
        <v>1080</v>
      </c>
      <c r="W49" s="8">
        <v>1246</v>
      </c>
    </row>
    <row r="50" spans="7:23" x14ac:dyDescent="0.25">
      <c r="G50" s="9" t="s">
        <v>133</v>
      </c>
      <c r="H50" s="8">
        <v>13664</v>
      </c>
      <c r="K50" s="9">
        <v>11</v>
      </c>
      <c r="L50" s="8">
        <v>1232</v>
      </c>
      <c r="M50" s="8">
        <v>1203</v>
      </c>
      <c r="N50" s="8">
        <v>1074</v>
      </c>
      <c r="O50" s="8">
        <v>1392</v>
      </c>
      <c r="P50" s="8">
        <v>1613</v>
      </c>
      <c r="Q50" s="8">
        <v>1197</v>
      </c>
      <c r="R50" s="8">
        <v>1256</v>
      </c>
      <c r="S50" s="8">
        <v>1173</v>
      </c>
      <c r="T50" s="8">
        <v>1413</v>
      </c>
      <c r="U50" s="8">
        <v>1307</v>
      </c>
      <c r="V50" s="8">
        <v>1056</v>
      </c>
      <c r="W50" s="8">
        <v>1134</v>
      </c>
    </row>
    <row r="51" spans="7:23" x14ac:dyDescent="0.25">
      <c r="K51" s="9">
        <v>12</v>
      </c>
      <c r="L51" s="8">
        <v>1125</v>
      </c>
      <c r="M51" s="8">
        <v>1115</v>
      </c>
      <c r="N51" s="8">
        <v>1495</v>
      </c>
      <c r="O51" s="8">
        <v>1355</v>
      </c>
      <c r="P51" s="8">
        <v>1224</v>
      </c>
      <c r="Q51" s="8">
        <v>1342</v>
      </c>
      <c r="R51" s="8">
        <v>1354</v>
      </c>
      <c r="S51" s="8">
        <v>1255</v>
      </c>
      <c r="T51" s="8">
        <v>1448</v>
      </c>
      <c r="U51" s="8">
        <v>1294</v>
      </c>
      <c r="V51" s="8">
        <v>1187</v>
      </c>
      <c r="W51" s="8">
        <v>977</v>
      </c>
    </row>
    <row r="52" spans="7:23" x14ac:dyDescent="0.25">
      <c r="G52" s="7" t="s">
        <v>134</v>
      </c>
      <c r="H52" t="s">
        <v>200</v>
      </c>
      <c r="K52" s="9" t="s">
        <v>133</v>
      </c>
      <c r="L52" s="8">
        <v>13575</v>
      </c>
      <c r="M52" s="8">
        <v>14840</v>
      </c>
      <c r="N52" s="8">
        <v>15033</v>
      </c>
      <c r="O52" s="8">
        <v>16196</v>
      </c>
      <c r="P52" s="8">
        <v>15026</v>
      </c>
      <c r="Q52" s="8">
        <v>14953</v>
      </c>
      <c r="R52" s="8">
        <v>15376</v>
      </c>
      <c r="S52" s="8">
        <v>15303</v>
      </c>
      <c r="T52" s="8">
        <v>15865</v>
      </c>
      <c r="U52" s="8">
        <v>14686</v>
      </c>
      <c r="V52" s="8">
        <v>13453</v>
      </c>
      <c r="W52" s="8">
        <v>14101</v>
      </c>
    </row>
    <row r="53" spans="7:23" x14ac:dyDescent="0.25">
      <c r="G53" s="9" t="s">
        <v>31</v>
      </c>
      <c r="H53" s="8">
        <v>809</v>
      </c>
    </row>
    <row r="54" spans="7:23" x14ac:dyDescent="0.25">
      <c r="G54" s="9" t="s">
        <v>42</v>
      </c>
      <c r="H54" s="8">
        <v>1036</v>
      </c>
    </row>
    <row r="55" spans="7:23" x14ac:dyDescent="0.25">
      <c r="G55" s="9" t="s">
        <v>50</v>
      </c>
      <c r="H55" s="8">
        <v>920</v>
      </c>
    </row>
    <row r="56" spans="7:23" x14ac:dyDescent="0.25">
      <c r="G56" s="9" t="s">
        <v>58</v>
      </c>
      <c r="H56" s="8">
        <v>1105</v>
      </c>
    </row>
    <row r="57" spans="7:23" x14ac:dyDescent="0.25">
      <c r="G57" s="9" t="s">
        <v>65</v>
      </c>
      <c r="H57" s="8">
        <v>1043</v>
      </c>
    </row>
    <row r="58" spans="7:23" x14ac:dyDescent="0.25">
      <c r="G58" s="9" t="s">
        <v>71</v>
      </c>
      <c r="H58" s="8">
        <v>1012</v>
      </c>
    </row>
    <row r="59" spans="7:23" x14ac:dyDescent="0.25">
      <c r="G59" s="9" t="s">
        <v>76</v>
      </c>
      <c r="H59" s="8">
        <v>1173</v>
      </c>
    </row>
    <row r="60" spans="7:23" x14ac:dyDescent="0.25">
      <c r="G60" s="9" t="s">
        <v>81</v>
      </c>
      <c r="H60" s="8">
        <v>1144</v>
      </c>
    </row>
    <row r="61" spans="7:23" x14ac:dyDescent="0.25">
      <c r="G61" s="9" t="s">
        <v>87</v>
      </c>
      <c r="H61" s="8">
        <v>1226</v>
      </c>
    </row>
    <row r="62" spans="7:23" x14ac:dyDescent="0.25">
      <c r="G62" s="9" t="s">
        <v>90</v>
      </c>
      <c r="H62" s="8">
        <v>1421</v>
      </c>
    </row>
    <row r="63" spans="7:23" x14ac:dyDescent="0.25">
      <c r="G63" s="9" t="s">
        <v>93</v>
      </c>
      <c r="H63" s="8">
        <v>1339</v>
      </c>
    </row>
    <row r="64" spans="7:23" x14ac:dyDescent="0.25">
      <c r="G64" s="9" t="s">
        <v>100</v>
      </c>
      <c r="H64" s="8">
        <v>1436</v>
      </c>
    </row>
    <row r="65" spans="7:8" x14ac:dyDescent="0.25">
      <c r="G65" s="9" t="s">
        <v>133</v>
      </c>
      <c r="H65" s="8">
        <v>13664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C76D-F438-4E14-9EE6-7B1985E2D4A7}">
  <dimension ref="A1:AS32"/>
  <sheetViews>
    <sheetView topLeftCell="S1" zoomScaleNormal="100" workbookViewId="0">
      <selection activeCell="O31" sqref="O31"/>
    </sheetView>
  </sheetViews>
  <sheetFormatPr defaultRowHeight="15" x14ac:dyDescent="0.25"/>
  <cols>
    <col min="1" max="6" width="9.140625" style="10"/>
    <col min="7" max="7" width="14.28515625" style="10" bestFit="1" customWidth="1"/>
    <col min="8" max="8" width="4.5703125" style="10" bestFit="1" customWidth="1"/>
    <col min="9" max="11" width="9.140625" style="10"/>
    <col min="12" max="12" width="15.7109375" style="10" bestFit="1" customWidth="1"/>
    <col min="13" max="13" width="13.140625" style="10" bestFit="1" customWidth="1"/>
    <col min="14" max="14" width="12.140625" style="10" bestFit="1" customWidth="1"/>
    <col min="15" max="15" width="10" style="10" bestFit="1" customWidth="1"/>
    <col min="16" max="16" width="9.140625" style="10"/>
    <col min="17" max="17" width="14" style="10" bestFit="1" customWidth="1"/>
    <col min="18" max="21" width="9.140625" style="10"/>
    <col min="22" max="23" width="10.5703125" style="10" bestFit="1" customWidth="1"/>
    <col min="24" max="27" width="9.140625" style="10"/>
    <col min="28" max="28" width="3.42578125" style="10" bestFit="1" customWidth="1"/>
    <col min="29" max="29" width="7.28515625" style="10" bestFit="1" customWidth="1"/>
    <col min="30" max="32" width="9.140625" style="10"/>
    <col min="33" max="33" width="10.5703125" style="10" bestFit="1" customWidth="1"/>
    <col min="34" max="41" width="9.140625" style="10"/>
    <col min="42" max="42" width="10.5703125" style="10" bestFit="1" customWidth="1"/>
    <col min="43" max="16384" width="9.140625" style="10"/>
  </cols>
  <sheetData>
    <row r="1" spans="1:45" x14ac:dyDescent="0.25">
      <c r="B1" s="21" t="s">
        <v>4</v>
      </c>
      <c r="C1" s="21"/>
      <c r="D1" s="21"/>
      <c r="G1" s="10" t="s">
        <v>5</v>
      </c>
      <c r="I1" s="10" t="s">
        <v>154</v>
      </c>
      <c r="J1" s="10" t="s">
        <v>155</v>
      </c>
      <c r="L1" s="21" t="s">
        <v>156</v>
      </c>
      <c r="M1" s="21"/>
      <c r="N1" s="10" cm="1">
        <f t="array" ref="N1:Q1">TRANSPOSE(L3:L6)</f>
        <v>2022</v>
      </c>
      <c r="O1" s="10">
        <v>2023</v>
      </c>
      <c r="P1" s="10">
        <v>2024</v>
      </c>
      <c r="Q1" s="10">
        <v>2025</v>
      </c>
      <c r="R1" s="10" t="s">
        <v>149</v>
      </c>
      <c r="S1" s="10" t="s">
        <v>151</v>
      </c>
      <c r="V1" s="10" t="s">
        <v>179</v>
      </c>
      <c r="W1" s="10" t="s">
        <v>6</v>
      </c>
      <c r="Y1" s="10" t="s">
        <v>179</v>
      </c>
      <c r="Z1" s="10" t="s">
        <v>6</v>
      </c>
      <c r="AA1" s="10" t="s">
        <v>188</v>
      </c>
      <c r="AB1" s="10" t="s">
        <v>186</v>
      </c>
      <c r="AC1" s="10" t="s">
        <v>187</v>
      </c>
      <c r="AF1" s="10" t="s">
        <v>20</v>
      </c>
    </row>
    <row r="2" spans="1:45" x14ac:dyDescent="0.25">
      <c r="A2" s="10" t="s">
        <v>150</v>
      </c>
      <c r="B2" s="10" t="s">
        <v>1</v>
      </c>
      <c r="C2" s="10" t="s">
        <v>148</v>
      </c>
      <c r="D2" s="10" t="s">
        <v>149</v>
      </c>
      <c r="E2" s="10" t="s">
        <v>151</v>
      </c>
      <c r="G2" s="13">
        <f>GETPIVOTDATA("Regular Clients",Pivot!$D$3)</f>
        <v>0.52708333333333335</v>
      </c>
      <c r="H2" s="15">
        <f>100%-G2</f>
        <v>0.47291666666666665</v>
      </c>
      <c r="I2" s="10">
        <f>SIN(G3*2*PI())</f>
        <v>-0.6394390019805849</v>
      </c>
      <c r="J2" s="10">
        <f>COS(G3*2*PI())</f>
        <v>-0.76884183207345935</v>
      </c>
      <c r="L2" s="10" t="s">
        <v>0</v>
      </c>
      <c r="M2" s="10" t="s">
        <v>6</v>
      </c>
      <c r="N2" s="10">
        <f>IF(AND($L2=N$1,$R2=0),$M2,0)</f>
        <v>0</v>
      </c>
      <c r="O2" s="10">
        <f t="shared" ref="O2:Q7" si="0">IF(AND($L2=O$1,$R2=0),$M2,0)</f>
        <v>0</v>
      </c>
      <c r="P2" s="10">
        <f t="shared" si="0"/>
        <v>0</v>
      </c>
      <c r="Q2" s="10">
        <f t="shared" si="0"/>
        <v>0</v>
      </c>
      <c r="R2" s="10">
        <f>IFERROR(INDEX(Pivot!$H$4:$H$7,MATCH(Process!L2,Pivot!$G$4:$G$7,0)),0)</f>
        <v>0</v>
      </c>
      <c r="S2" s="10" t="e">
        <f>IF(R2=0,NA(),R2)</f>
        <v>#N/A</v>
      </c>
      <c r="U2" s="10" t="s">
        <v>180</v>
      </c>
      <c r="V2" s="10">
        <f>GETPIVOTDATA(""&amp;U2&amp;"-I",Pivot!$O$3)*$Y$2</f>
        <v>13575</v>
      </c>
      <c r="W2" s="10">
        <f>GETPIVOTDATA(""&amp;U2&amp;"-S",Pivot!$O$3)*$Z$2</f>
        <v>15376</v>
      </c>
      <c r="Y2" s="10" t="b">
        <v>1</v>
      </c>
      <c r="Z2" s="10" t="b">
        <v>1</v>
      </c>
      <c r="AE2" s="10" t="s">
        <v>1</v>
      </c>
      <c r="AF2" s="10" t="s">
        <v>158</v>
      </c>
      <c r="AG2" s="10" t="s">
        <v>166</v>
      </c>
      <c r="AH2" s="10" t="s">
        <v>151</v>
      </c>
    </row>
    <row r="3" spans="1:45" x14ac:dyDescent="0.25">
      <c r="A3" s="10">
        <v>1</v>
      </c>
      <c r="B3" s="10" t="s">
        <v>136</v>
      </c>
      <c r="C3" s="10">
        <f>GETPIVOTDATA("Influx of New Clients",Pivot!$A$3,"Month",A3)</f>
        <v>924</v>
      </c>
      <c r="D3" s="10">
        <f>IFERROR(GETPIVOTDATA("Influx of New Clients",Pivot!$A$20,"Month",A3),NA())</f>
        <v>924</v>
      </c>
      <c r="E3" s="10">
        <f>IF(ISNA(D3),D3,C3)</f>
        <v>924</v>
      </c>
      <c r="G3" s="15">
        <f>G2+100%/(360/30)</f>
        <v>0.61041666666666672</v>
      </c>
      <c r="H3" s="15">
        <f>100%-G3</f>
        <v>0.38958333333333328</v>
      </c>
      <c r="L3" s="10">
        <v>2022</v>
      </c>
      <c r="M3" s="16">
        <v>2777</v>
      </c>
      <c r="N3" s="10">
        <f t="shared" ref="N3:N7" si="1">IF(AND($L3=N$1,$R3=0),$M3,0)</f>
        <v>0</v>
      </c>
      <c r="O3" s="10">
        <f t="shared" si="0"/>
        <v>0</v>
      </c>
      <c r="P3" s="10">
        <f t="shared" si="0"/>
        <v>0</v>
      </c>
      <c r="Q3" s="10">
        <f t="shared" si="0"/>
        <v>0</v>
      </c>
      <c r="R3" s="10">
        <f>IFERROR(INDEX(Pivot!$H$4:$H$7,MATCH(Process!L3,Pivot!$G$4:$G$7,0)),0)</f>
        <v>2777</v>
      </c>
      <c r="S3" s="10">
        <f t="shared" ref="S3:S7" si="2">IF(R3=0,NA(),R3)</f>
        <v>2777</v>
      </c>
      <c r="U3" s="10" t="s">
        <v>181</v>
      </c>
      <c r="V3" s="10">
        <f>GETPIVOTDATA(""&amp;U3&amp;"-I",Pivot!$O$3)*$Y$2</f>
        <v>14840</v>
      </c>
      <c r="W3" s="10">
        <f>GETPIVOTDATA(""&amp;U3&amp;"-S",Pivot!$O$3)*$Z$2</f>
        <v>15303</v>
      </c>
      <c r="AE3" s="10" t="s">
        <v>136</v>
      </c>
      <c r="AF3" s="10">
        <f>GETPIVOTDATA("Average Check",Pivot!$G$37,"Name Month",AE3)</f>
        <v>809</v>
      </c>
      <c r="AG3" s="10">
        <f>GETPIVOTDATA("Average Check",Pivot!$G$52,"Name Month",AE3)</f>
        <v>809</v>
      </c>
      <c r="AH3" s="10" t="e">
        <f>IF(COUNTIF($AG$3:$AG$14,"&gt;0")=1,AG3,NA())</f>
        <v>#N/A</v>
      </c>
    </row>
    <row r="4" spans="1:45" x14ac:dyDescent="0.25">
      <c r="A4" s="10">
        <v>2</v>
      </c>
      <c r="B4" s="10" t="s">
        <v>137</v>
      </c>
      <c r="C4" s="10">
        <f>GETPIVOTDATA("Influx of New Clients",Pivot!$A$3,"Month",A4)</f>
        <v>929</v>
      </c>
      <c r="D4" s="10">
        <f>IFERROR(GETPIVOTDATA("Influx of New Clients",Pivot!$A$20,"Month",A4),NA())</f>
        <v>929</v>
      </c>
      <c r="E4" s="10">
        <f t="shared" ref="E4:E14" si="3">IF(ISNA(D4),D4,C4)</f>
        <v>929</v>
      </c>
      <c r="L4" s="10">
        <v>2023</v>
      </c>
      <c r="M4" s="16">
        <v>3827</v>
      </c>
      <c r="N4" s="10">
        <f t="shared" si="1"/>
        <v>0</v>
      </c>
      <c r="O4" s="10">
        <f t="shared" si="0"/>
        <v>0</v>
      </c>
      <c r="P4" s="10">
        <f t="shared" si="0"/>
        <v>0</v>
      </c>
      <c r="Q4" s="10">
        <f t="shared" si="0"/>
        <v>0</v>
      </c>
      <c r="R4" s="10">
        <f>IFERROR(INDEX(Pivot!$H$4:$H$7,MATCH(Process!L4,Pivot!$G$4:$G$7,0)),0)</f>
        <v>3827</v>
      </c>
      <c r="S4" s="10">
        <f t="shared" si="2"/>
        <v>3827</v>
      </c>
      <c r="U4" s="10" t="s">
        <v>182</v>
      </c>
      <c r="V4" s="10">
        <f>GETPIVOTDATA(""&amp;U4&amp;"-I",Pivot!$O$3)*$Y$2</f>
        <v>15033</v>
      </c>
      <c r="W4" s="10">
        <f>GETPIVOTDATA(""&amp;U4&amp;"-S",Pivot!$O$3)*$Z$2</f>
        <v>15865</v>
      </c>
      <c r="Y4" s="10" t="str">
        <f>IF(Y2,AA1,"")</f>
        <v>■</v>
      </c>
      <c r="Z4" s="10" t="str">
        <f>IF(Z2,AA1,"")</f>
        <v>■</v>
      </c>
      <c r="AE4" s="10" t="s">
        <v>137</v>
      </c>
      <c r="AF4" s="10">
        <f>GETPIVOTDATA("Average Check",Pivot!$G$37,"Name Month",AE4)</f>
        <v>1036</v>
      </c>
      <c r="AG4" s="10">
        <f>GETPIVOTDATA("Average Check",Pivot!$G$52,"Name Month",AE4)</f>
        <v>1036</v>
      </c>
      <c r="AH4" s="10" t="e">
        <f t="shared" ref="AH4:AH14" si="4">IF(COUNTIF($AG$3:$AG$14,"&gt;0")=1,AG4,NA())</f>
        <v>#N/A</v>
      </c>
    </row>
    <row r="5" spans="1:45" x14ac:dyDescent="0.25">
      <c r="A5" s="10">
        <v>3</v>
      </c>
      <c r="B5" s="10" t="s">
        <v>138</v>
      </c>
      <c r="C5" s="10">
        <f>GETPIVOTDATA("Influx of New Clients",Pivot!$A$3,"Month",A5)</f>
        <v>876</v>
      </c>
      <c r="D5" s="10">
        <f>IFERROR(GETPIVOTDATA("Influx of New Clients",Pivot!$A$20,"Month",A5),NA())</f>
        <v>876</v>
      </c>
      <c r="E5" s="10">
        <f t="shared" si="3"/>
        <v>876</v>
      </c>
      <c r="L5" s="10">
        <v>2024</v>
      </c>
      <c r="M5" s="16">
        <v>1125</v>
      </c>
      <c r="N5" s="10">
        <f t="shared" si="1"/>
        <v>0</v>
      </c>
      <c r="O5" s="10">
        <f t="shared" si="0"/>
        <v>0</v>
      </c>
      <c r="P5" s="10">
        <f t="shared" si="0"/>
        <v>0</v>
      </c>
      <c r="Q5" s="10">
        <f t="shared" si="0"/>
        <v>0</v>
      </c>
      <c r="R5" s="10">
        <f>IFERROR(INDEX(Pivot!$H$4:$H$7,MATCH(Process!L5,Pivot!$G$4:$G$7,0)),0)</f>
        <v>1125</v>
      </c>
      <c r="S5" s="10">
        <f t="shared" si="2"/>
        <v>1125</v>
      </c>
      <c r="U5" s="10" t="s">
        <v>183</v>
      </c>
      <c r="V5" s="10">
        <f>GETPIVOTDATA(""&amp;U5&amp;"-I",Pivot!$O$3)*$Y$2</f>
        <v>16196</v>
      </c>
      <c r="W5" s="10">
        <f>GETPIVOTDATA(""&amp;U5&amp;"-S",Pivot!$O$3)*$Z$2</f>
        <v>14686</v>
      </c>
      <c r="AE5" s="10" t="s">
        <v>138</v>
      </c>
      <c r="AF5" s="10">
        <f>GETPIVOTDATA("Average Check",Pivot!$G$37,"Name Month",AE5)</f>
        <v>920</v>
      </c>
      <c r="AG5" s="10">
        <f>GETPIVOTDATA("Average Check",Pivot!$G$52,"Name Month",AE5)</f>
        <v>920</v>
      </c>
      <c r="AH5" s="10" t="e">
        <f t="shared" si="4"/>
        <v>#N/A</v>
      </c>
    </row>
    <row r="6" spans="1:45" x14ac:dyDescent="0.25">
      <c r="A6" s="10">
        <v>4</v>
      </c>
      <c r="B6" s="10" t="s">
        <v>139</v>
      </c>
      <c r="C6" s="10">
        <f>GETPIVOTDATA("Influx of New Clients",Pivot!$A$3,"Month",A6)</f>
        <v>864</v>
      </c>
      <c r="D6" s="10">
        <f>IFERROR(GETPIVOTDATA("Influx of New Clients",Pivot!$A$20,"Month",A6),NA())</f>
        <v>864</v>
      </c>
      <c r="E6" s="10">
        <f t="shared" si="3"/>
        <v>864</v>
      </c>
      <c r="L6" s="10">
        <v>2025</v>
      </c>
      <c r="M6" s="16">
        <v>1195</v>
      </c>
      <c r="N6" s="10">
        <f t="shared" si="1"/>
        <v>0</v>
      </c>
      <c r="O6" s="10">
        <f t="shared" si="0"/>
        <v>0</v>
      </c>
      <c r="P6" s="10">
        <f t="shared" si="0"/>
        <v>0</v>
      </c>
      <c r="Q6" s="10">
        <f t="shared" si="0"/>
        <v>0</v>
      </c>
      <c r="R6" s="10">
        <f>IFERROR(INDEX(Pivot!$H$4:$H$7,MATCH(Process!L6,Pivot!$G$4:$G$7,0)),0)</f>
        <v>1195</v>
      </c>
      <c r="S6" s="10">
        <f t="shared" si="2"/>
        <v>1195</v>
      </c>
      <c r="U6" s="10" t="s">
        <v>184</v>
      </c>
      <c r="V6" s="10">
        <f>GETPIVOTDATA(""&amp;U6&amp;"-I",Pivot!$O$3)*$Y$2</f>
        <v>15026</v>
      </c>
      <c r="W6" s="10">
        <f>GETPIVOTDATA(""&amp;U6&amp;"-S",Pivot!$O$3)*$Z$2</f>
        <v>13453</v>
      </c>
      <c r="AE6" s="10" t="s">
        <v>139</v>
      </c>
      <c r="AF6" s="10">
        <f>GETPIVOTDATA("Average Check",Pivot!$G$37,"Name Month",AE6)</f>
        <v>1105</v>
      </c>
      <c r="AG6" s="10">
        <f>GETPIVOTDATA("Average Check",Pivot!$G$52,"Name Month",AE6)</f>
        <v>1105</v>
      </c>
      <c r="AH6" s="10" t="e">
        <f t="shared" si="4"/>
        <v>#N/A</v>
      </c>
    </row>
    <row r="7" spans="1:45" x14ac:dyDescent="0.25">
      <c r="A7" s="10">
        <v>5</v>
      </c>
      <c r="B7" s="10" t="s">
        <v>140</v>
      </c>
      <c r="C7" s="10">
        <f>GETPIVOTDATA("Influx of New Clients",Pivot!$A$3,"Month",A7)</f>
        <v>712</v>
      </c>
      <c r="D7" s="10">
        <f>IFERROR(GETPIVOTDATA("Influx of New Clients",Pivot!$A$20,"Month",A7),NA())</f>
        <v>712</v>
      </c>
      <c r="E7" s="10">
        <f t="shared" si="3"/>
        <v>712</v>
      </c>
      <c r="N7" s="10">
        <f t="shared" si="1"/>
        <v>0</v>
      </c>
      <c r="O7" s="10">
        <f t="shared" si="0"/>
        <v>0</v>
      </c>
      <c r="P7" s="10">
        <f t="shared" si="0"/>
        <v>0</v>
      </c>
      <c r="Q7" s="10">
        <f t="shared" si="0"/>
        <v>0</v>
      </c>
      <c r="R7" s="10">
        <f>IFERROR(INDEX(Pivot!$H$4:$H$7,MATCH(Process!L7,Pivot!$G$4:$G$7,0)),0)</f>
        <v>0</v>
      </c>
      <c r="S7" s="10" t="e">
        <f t="shared" si="2"/>
        <v>#N/A</v>
      </c>
      <c r="U7" s="10" t="s">
        <v>185</v>
      </c>
      <c r="V7" s="10">
        <f>GETPIVOTDATA(""&amp;U7&amp;"-I",Pivot!$O$3)*$Y$2</f>
        <v>14953</v>
      </c>
      <c r="W7" s="10">
        <f>GETPIVOTDATA(""&amp;U7&amp;"-S",Pivot!$O$3)*$Z$2</f>
        <v>14101</v>
      </c>
      <c r="AE7" s="10" t="s">
        <v>140</v>
      </c>
      <c r="AF7" s="10">
        <f>GETPIVOTDATA("Average Check",Pivot!$G$37,"Name Month",AE7)</f>
        <v>1043</v>
      </c>
      <c r="AG7" s="10">
        <f>GETPIVOTDATA("Average Check",Pivot!$G$52,"Name Month",AE7)</f>
        <v>1043</v>
      </c>
      <c r="AH7" s="10" t="e">
        <f t="shared" si="4"/>
        <v>#N/A</v>
      </c>
    </row>
    <row r="8" spans="1:45" x14ac:dyDescent="0.25">
      <c r="A8" s="10">
        <v>6</v>
      </c>
      <c r="B8" s="10" t="s">
        <v>141</v>
      </c>
      <c r="C8" s="10">
        <f>GETPIVOTDATA("Influx of New Clients",Pivot!$A$3,"Month",A8)</f>
        <v>1020</v>
      </c>
      <c r="D8" s="10">
        <f>IFERROR(GETPIVOTDATA("Influx of New Clients",Pivot!$A$20,"Month",A8),NA())</f>
        <v>1020</v>
      </c>
      <c r="E8" s="10">
        <f t="shared" si="3"/>
        <v>1020</v>
      </c>
      <c r="V8" s="18">
        <f>SUM(V2:V7)</f>
        <v>89623</v>
      </c>
      <c r="W8" s="18">
        <f>SUM(W2:W7)</f>
        <v>88784</v>
      </c>
      <c r="AE8" s="10" t="s">
        <v>141</v>
      </c>
      <c r="AF8" s="10">
        <f>GETPIVOTDATA("Average Check",Pivot!$G$37,"Name Month",AE8)</f>
        <v>1012</v>
      </c>
      <c r="AG8" s="10">
        <f>GETPIVOTDATA("Average Check",Pivot!$G$52,"Name Month",AE8)</f>
        <v>1012</v>
      </c>
      <c r="AH8" s="10" t="e">
        <f t="shared" si="4"/>
        <v>#N/A</v>
      </c>
    </row>
    <row r="9" spans="1:45" x14ac:dyDescent="0.25">
      <c r="A9" s="10">
        <v>7</v>
      </c>
      <c r="B9" s="10" t="s">
        <v>142</v>
      </c>
      <c r="C9" s="10">
        <f>GETPIVOTDATA("Influx of New Clients",Pivot!$A$3,"Month",A9)</f>
        <v>1167</v>
      </c>
      <c r="D9" s="10">
        <f>IFERROR(GETPIVOTDATA("Influx of New Clients",Pivot!$A$20,"Month",A9),NA())</f>
        <v>1167</v>
      </c>
      <c r="E9" s="10">
        <f t="shared" si="3"/>
        <v>1167</v>
      </c>
      <c r="AE9" s="10" t="s">
        <v>142</v>
      </c>
      <c r="AF9" s="10">
        <f>GETPIVOTDATA("Average Check",Pivot!$G$37,"Name Month",AE9)</f>
        <v>1173</v>
      </c>
      <c r="AG9" s="10">
        <f>GETPIVOTDATA("Average Check",Pivot!$G$52,"Name Month",AE9)</f>
        <v>1173</v>
      </c>
      <c r="AH9" s="10" t="e">
        <f t="shared" si="4"/>
        <v>#N/A</v>
      </c>
    </row>
    <row r="10" spans="1:45" x14ac:dyDescent="0.25">
      <c r="A10" s="10">
        <v>8</v>
      </c>
      <c r="B10" s="10" t="s">
        <v>143</v>
      </c>
      <c r="C10" s="10">
        <f>GETPIVOTDATA("Influx of New Clients",Pivot!$A$3,"Month",A10)</f>
        <v>1260</v>
      </c>
      <c r="D10" s="10">
        <f>IFERROR(GETPIVOTDATA("Influx of New Clients",Pivot!$A$20,"Month",A10),NA())</f>
        <v>1260</v>
      </c>
      <c r="E10" s="10">
        <f t="shared" si="3"/>
        <v>1260</v>
      </c>
      <c r="AE10" s="10" t="s">
        <v>143</v>
      </c>
      <c r="AF10" s="10">
        <f>GETPIVOTDATA("Average Check",Pivot!$G$37,"Name Month",AE10)</f>
        <v>1144</v>
      </c>
      <c r="AG10" s="10">
        <f>GETPIVOTDATA("Average Check",Pivot!$G$52,"Name Month",AE10)</f>
        <v>1144</v>
      </c>
      <c r="AH10" s="10" t="e">
        <f t="shared" si="4"/>
        <v>#N/A</v>
      </c>
    </row>
    <row r="11" spans="1:45" x14ac:dyDescent="0.25">
      <c r="A11" s="10">
        <v>9</v>
      </c>
      <c r="B11" s="10" t="s">
        <v>144</v>
      </c>
      <c r="C11" s="10">
        <f>GETPIVOTDATA("Influx of New Clients",Pivot!$A$3,"Month",A11)</f>
        <v>868</v>
      </c>
      <c r="D11" s="10">
        <f>IFERROR(GETPIVOTDATA("Influx of New Clients",Pivot!$A$20,"Month",A11),NA())</f>
        <v>868</v>
      </c>
      <c r="E11" s="10">
        <f t="shared" si="3"/>
        <v>868</v>
      </c>
      <c r="L11" s="10" t="s">
        <v>3</v>
      </c>
      <c r="M11" s="10" t="s">
        <v>158</v>
      </c>
      <c r="N11" s="10" t="s">
        <v>159</v>
      </c>
      <c r="O11" s="10" t="s">
        <v>160</v>
      </c>
      <c r="P11" s="10" t="s">
        <v>161</v>
      </c>
      <c r="Q11" s="10" t="s">
        <v>162</v>
      </c>
      <c r="U11" s="10">
        <v>1</v>
      </c>
      <c r="V11" s="10" t="s">
        <v>21</v>
      </c>
      <c r="W11" s="10">
        <f>GETPIVOTDATA(""&amp;V11,Pivot!$O$22)</f>
        <v>29833</v>
      </c>
      <c r="X11" s="10" t="str" cm="1">
        <f t="array" ref="X11">IFERROR(INDEX($V$11:$V$20,SMALL(IF($W$11:$W$20=Y11,ROW($W$11:$W$20)-ROW($W$11)+1),COUNTIF($Y$11:Y11,Y11))),"")</f>
        <v>Product 3</v>
      </c>
      <c r="Y11" s="10">
        <f t="shared" ref="Y11:Y20" si="5">LARGE($W$11:$W$20,U11)</f>
        <v>44257</v>
      </c>
      <c r="Z11" s="10" t="str">
        <f t="shared" ref="Z11:Z20" si="6">INDEX($V$11:$V$20,MATCH(Y11,$W$11:$W$20,0))</f>
        <v>Product 3</v>
      </c>
      <c r="AE11" s="10" t="s">
        <v>144</v>
      </c>
      <c r="AF11" s="10">
        <f>GETPIVOTDATA("Average Check",Pivot!$G$37,"Name Month",AE11)</f>
        <v>1226</v>
      </c>
      <c r="AG11" s="10">
        <f>GETPIVOTDATA("Average Check",Pivot!$G$52,"Name Month",AE11)</f>
        <v>1226</v>
      </c>
      <c r="AH11" s="10" t="e">
        <f t="shared" si="4"/>
        <v>#N/A</v>
      </c>
    </row>
    <row r="12" spans="1:45" x14ac:dyDescent="0.25">
      <c r="A12" s="10">
        <v>10</v>
      </c>
      <c r="B12" s="10" t="s">
        <v>145</v>
      </c>
      <c r="C12" s="10">
        <f>GETPIVOTDATA("Influx of New Clients",Pivot!$A$3,"Month",A12)</f>
        <v>1222</v>
      </c>
      <c r="D12" s="10">
        <f>IFERROR(GETPIVOTDATA("Influx of New Clients",Pivot!$A$20,"Month",A12),NA())</f>
        <v>1222</v>
      </c>
      <c r="E12" s="10">
        <f t="shared" si="3"/>
        <v>1222</v>
      </c>
      <c r="L12" s="10" t="s">
        <v>35</v>
      </c>
      <c r="M12" s="15">
        <f>IFERROR(GETPIVOTDATA("Sales",Pivot!$G$27,"Departments",""&amp;L12)/GETPIVOTDATA("Sales",Pivot!$G$20),0)</f>
        <v>0.25582698341550875</v>
      </c>
      <c r="N12" s="15">
        <f>SUM($M$12:M12)</f>
        <v>0.25582698341550875</v>
      </c>
      <c r="O12" s="14">
        <f>100%-N12</f>
        <v>0.74417301658449131</v>
      </c>
      <c r="P12" s="11">
        <f>IF(M12=0,NA(),SIN(N12*2*PI()))</f>
        <v>0.99932985498335392</v>
      </c>
      <c r="Q12" s="11">
        <f>IF(M12=0,NA(),COS(O12*2*PI()))</f>
        <v>-3.6603837762574545E-2</v>
      </c>
      <c r="U12" s="10">
        <v>2</v>
      </c>
      <c r="V12" s="10" t="s">
        <v>22</v>
      </c>
      <c r="W12" s="10">
        <f>GETPIVOTDATA(""&amp;V12,Pivot!$O$22)</f>
        <v>30756</v>
      </c>
      <c r="X12" s="10" t="str" cm="1">
        <f t="array" ref="X12">IFERROR(INDEX($V$11:$V$20,SMALL(IF($W$11:$W$20=Y12,ROW($W$11:$W$20)-ROW($W$11)+1),COUNTIF($Y$11:Y12,Y12))),"")</f>
        <v>Product 7</v>
      </c>
      <c r="Y12" s="10">
        <f t="shared" si="5"/>
        <v>33084</v>
      </c>
      <c r="Z12" s="10" t="str">
        <f t="shared" si="6"/>
        <v>Product 7</v>
      </c>
      <c r="AE12" s="10" t="s">
        <v>145</v>
      </c>
      <c r="AF12" s="10">
        <f>GETPIVOTDATA("Average Check",Pivot!$G$37,"Name Month",AE12)</f>
        <v>1421</v>
      </c>
      <c r="AG12" s="10">
        <f>GETPIVOTDATA("Average Check",Pivot!$G$52,"Name Month",AE12)</f>
        <v>1421</v>
      </c>
      <c r="AH12" s="10" t="e">
        <f t="shared" si="4"/>
        <v>#N/A</v>
      </c>
    </row>
    <row r="13" spans="1:45" x14ac:dyDescent="0.25">
      <c r="A13" s="10">
        <v>11</v>
      </c>
      <c r="B13" s="10" t="s">
        <v>146</v>
      </c>
      <c r="C13" s="10">
        <f>GETPIVOTDATA("Influx of New Clients",Pivot!$A$3,"Month",A13)</f>
        <v>957</v>
      </c>
      <c r="D13" s="10">
        <f>IFERROR(GETPIVOTDATA("Influx of New Clients",Pivot!$A$20,"Month",A13),NA())</f>
        <v>957</v>
      </c>
      <c r="E13" s="10">
        <f t="shared" si="3"/>
        <v>957</v>
      </c>
      <c r="L13" s="10" t="s">
        <v>32</v>
      </c>
      <c r="M13" s="15">
        <f>IFERROR(GETPIVOTDATA("Sales",Pivot!$G$27,"Departments",""&amp;L13)/GETPIVOTDATA("Sales",Pivot!$G$20),0)</f>
        <v>0.2183998207082026</v>
      </c>
      <c r="N13" s="15">
        <f>SUM($M$12:M13)</f>
        <v>0.47422680412371132</v>
      </c>
      <c r="O13" s="14">
        <f t="shared" ref="O13:O15" si="7">100%-N13</f>
        <v>0.52577319587628868</v>
      </c>
      <c r="P13" s="11">
        <f t="shared" ref="P13:P15" si="8">IF(M13=0,NA(),SIN(N13*2*PI()))</f>
        <v>0.16123092141975998</v>
      </c>
      <c r="Q13" s="11">
        <f t="shared" ref="Q13:Q15" si="9">IF(M13=0,NA(),COS(O13*2*PI()))</f>
        <v>-0.9869167087338907</v>
      </c>
      <c r="U13" s="10">
        <v>3</v>
      </c>
      <c r="V13" s="10" t="s">
        <v>23</v>
      </c>
      <c r="W13" s="10">
        <f>GETPIVOTDATA(""&amp;V13,Pivot!$O$22)</f>
        <v>44257</v>
      </c>
      <c r="X13" s="10" t="str" cm="1">
        <f t="array" ref="X13">IFERROR(INDEX($V$11:$V$20,SMALL(IF($W$11:$W$20=Y13,ROW($W$11:$W$20)-ROW($W$11)+1),COUNTIF($Y$11:Y13,Y13))),"")</f>
        <v>Product 2</v>
      </c>
      <c r="Y13" s="10">
        <f t="shared" si="5"/>
        <v>30756</v>
      </c>
      <c r="Z13" s="10" t="str">
        <f t="shared" si="6"/>
        <v>Product 2</v>
      </c>
      <c r="AE13" s="10" t="s">
        <v>146</v>
      </c>
      <c r="AF13" s="10">
        <f>GETPIVOTDATA("Average Check",Pivot!$G$37,"Name Month",AE13)</f>
        <v>1339</v>
      </c>
      <c r="AG13" s="10">
        <f>GETPIVOTDATA("Average Check",Pivot!$G$52,"Name Month",AE13)</f>
        <v>1339</v>
      </c>
      <c r="AH13" s="10" t="e">
        <f t="shared" si="4"/>
        <v>#N/A</v>
      </c>
    </row>
    <row r="14" spans="1:45" x14ac:dyDescent="0.25">
      <c r="A14" s="10">
        <v>12</v>
      </c>
      <c r="B14" s="10" t="s">
        <v>147</v>
      </c>
      <c r="C14" s="10">
        <f>GETPIVOTDATA("Influx of New Clients",Pivot!$A$3,"Month",A14)</f>
        <v>1102</v>
      </c>
      <c r="D14" s="10">
        <f>IFERROR(GETPIVOTDATA("Influx of New Clients",Pivot!$A$20,"Month",A14),NA())</f>
        <v>1102</v>
      </c>
      <c r="E14" s="10">
        <f t="shared" si="3"/>
        <v>1102</v>
      </c>
      <c r="L14" s="10" t="s">
        <v>38</v>
      </c>
      <c r="M14" s="15">
        <f>IFERROR(GETPIVOTDATA("Sales",Pivot!$G$27,"Departments",""&amp;L14)/GETPIVOTDATA("Sales",Pivot!$G$20),0)</f>
        <v>0.28776333482743166</v>
      </c>
      <c r="N14" s="15">
        <f>SUM($M$12:M14)</f>
        <v>0.76199013895114298</v>
      </c>
      <c r="O14" s="14">
        <f t="shared" si="7"/>
        <v>0.23800986104885702</v>
      </c>
      <c r="P14" s="11">
        <f t="shared" si="8"/>
        <v>-0.99716356550489238</v>
      </c>
      <c r="Q14" s="11">
        <f t="shared" si="9"/>
        <v>7.5265022617217486E-2</v>
      </c>
      <c r="U14" s="10">
        <v>4</v>
      </c>
      <c r="V14" s="10" t="s">
        <v>24</v>
      </c>
      <c r="W14" s="10">
        <f>GETPIVOTDATA(""&amp;V14,Pivot!$O$22)</f>
        <v>28948</v>
      </c>
      <c r="X14" s="10" t="str" cm="1">
        <f t="array" ref="X14">IFERROR(INDEX($V$11:$V$20,SMALL(IF($W$11:$W$20=Y14,ROW($W$11:$W$20)-ROW($W$11)+1),COUNTIF($Y$11:Y14,Y14))),"")</f>
        <v>Product 1</v>
      </c>
      <c r="Y14" s="10">
        <f t="shared" si="5"/>
        <v>29833</v>
      </c>
      <c r="Z14" s="10" t="str">
        <f t="shared" si="6"/>
        <v>Product 1</v>
      </c>
      <c r="AE14" s="10" t="s">
        <v>147</v>
      </c>
      <c r="AF14" s="10">
        <f>GETPIVOTDATA("Average Check",Pivot!$G$37,"Name Month",AE14)</f>
        <v>1436</v>
      </c>
      <c r="AG14" s="10">
        <f>GETPIVOTDATA("Average Check",Pivot!$G$52,"Name Month",AE14)</f>
        <v>1436</v>
      </c>
      <c r="AH14" s="10" t="e">
        <f t="shared" si="4"/>
        <v>#N/A</v>
      </c>
    </row>
    <row r="15" spans="1:45" x14ac:dyDescent="0.25">
      <c r="C15" s="11">
        <f>SUM(C3:C14)</f>
        <v>11901</v>
      </c>
      <c r="D15" s="11" cm="1">
        <f t="array" ref="D15">SUM(IFERROR(D3:D14,0))</f>
        <v>11901</v>
      </c>
      <c r="L15" s="10" t="s">
        <v>40</v>
      </c>
      <c r="M15" s="15">
        <f>IFERROR(GETPIVOTDATA("Sales",Pivot!$G$27,"Departments",""&amp;L15)/GETPIVOTDATA("Sales",Pivot!$G$20),0)</f>
        <v>0.23800986104885702</v>
      </c>
      <c r="N15" s="15">
        <f>SUM($M$12:M15)</f>
        <v>1</v>
      </c>
      <c r="O15" s="14">
        <f t="shared" si="7"/>
        <v>0</v>
      </c>
      <c r="P15" s="11">
        <f t="shared" si="8"/>
        <v>-2.45029690981724E-16</v>
      </c>
      <c r="Q15" s="11">
        <f t="shared" si="9"/>
        <v>1</v>
      </c>
      <c r="U15" s="10">
        <v>5</v>
      </c>
      <c r="V15" s="10" t="s">
        <v>25</v>
      </c>
      <c r="W15" s="10">
        <f>GETPIVOTDATA(""&amp;V15,Pivot!$O$22)</f>
        <v>28255</v>
      </c>
      <c r="X15" s="10" t="str" cm="1">
        <f t="array" ref="X15">IFERROR(INDEX($V$11:$V$20,SMALL(IF($W$11:$W$20=Y15,ROW($W$11:$W$20)-ROW($W$11)+1),COUNTIF($Y$11:Y15,Y15))),"")</f>
        <v>Product 9</v>
      </c>
      <c r="Y15" s="10">
        <f t="shared" si="5"/>
        <v>29292</v>
      </c>
      <c r="Z15" s="10" t="str">
        <f t="shared" si="6"/>
        <v>Product 9</v>
      </c>
      <c r="AG15" s="18">
        <f>GETPIVOTDATA("Average Check",Pivot!$G$52)</f>
        <v>13664</v>
      </c>
    </row>
    <row r="16" spans="1:45" x14ac:dyDescent="0.25">
      <c r="M16" s="14">
        <f>100%-SUM(M12:M15)</f>
        <v>0</v>
      </c>
      <c r="O16" s="18">
        <f>IF(M16=0,GETPIVOTDATA("Sales",Pivot!$G$20),SUM(Process!M12:M15))</f>
        <v>8924</v>
      </c>
      <c r="P16" s="10" t="e">
        <f>IF(M16=0,NA(),0)</f>
        <v>#N/A</v>
      </c>
      <c r="Q16" s="10" t="e">
        <f>IF(M16=0,NA(),1)</f>
        <v>#N/A</v>
      </c>
      <c r="U16" s="10">
        <v>6</v>
      </c>
      <c r="V16" s="10" t="s">
        <v>26</v>
      </c>
      <c r="W16" s="10">
        <f>GETPIVOTDATA(""&amp;V16,Pivot!$O$22)</f>
        <v>25959</v>
      </c>
      <c r="X16" s="10" t="str" cm="1">
        <f t="array" ref="X16">IFERROR(INDEX($V$11:$V$20,SMALL(IF($W$11:$W$20=Y16,ROW($W$11:$W$20)-ROW($W$11)+1),COUNTIF($Y$11:Y16,Y16))),"")</f>
        <v>Product 4</v>
      </c>
      <c r="Y16" s="10">
        <f t="shared" si="5"/>
        <v>28948</v>
      </c>
      <c r="Z16" s="10" t="str">
        <f t="shared" si="6"/>
        <v>Product 4</v>
      </c>
      <c r="AO16" s="10">
        <v>1.4</v>
      </c>
      <c r="AS16" s="10">
        <v>0.7</v>
      </c>
    </row>
    <row r="17" spans="1:45" x14ac:dyDescent="0.25">
      <c r="A17" s="17"/>
      <c r="U17" s="10">
        <v>7</v>
      </c>
      <c r="V17" s="10" t="s">
        <v>27</v>
      </c>
      <c r="W17" s="10">
        <f>GETPIVOTDATA(""&amp;V17,Pivot!$O$22)</f>
        <v>33084</v>
      </c>
      <c r="X17" s="10" t="str" cm="1">
        <f t="array" ref="X17">IFERROR(INDEX($V$11:$V$20,SMALL(IF($W$11:$W$20=Y17,ROW($W$11:$W$20)-ROW($W$11)+1),COUNTIF($Y$11:Y17,Y17))),"")</f>
        <v>Product 5</v>
      </c>
      <c r="Y17" s="10">
        <f t="shared" si="5"/>
        <v>28255</v>
      </c>
      <c r="Z17" s="10" t="str">
        <f t="shared" si="6"/>
        <v>Product 5</v>
      </c>
      <c r="AE17" s="10" t="s">
        <v>202</v>
      </c>
      <c r="AG17" s="10" t="s">
        <v>6</v>
      </c>
      <c r="AH17" s="10" t="s">
        <v>179</v>
      </c>
      <c r="AL17" s="10" t="s">
        <v>205</v>
      </c>
      <c r="AM17" s="10" t="str">
        <f>AI25</f>
        <v>Sales</v>
      </c>
      <c r="AN17" s="10" t="str">
        <f>AJ25</f>
        <v>Inventory</v>
      </c>
      <c r="AO17" s="19" t="s">
        <v>206</v>
      </c>
      <c r="AP17" s="19" t="str">
        <f>AI25</f>
        <v>Sales</v>
      </c>
      <c r="AQ17" s="19" t="s">
        <v>207</v>
      </c>
      <c r="AR17" s="19" t="str">
        <f>AJ25</f>
        <v>Inventory</v>
      </c>
      <c r="AS17" s="19" t="s">
        <v>208</v>
      </c>
    </row>
    <row r="18" spans="1:45" x14ac:dyDescent="0.25">
      <c r="L18" s="10" t="s">
        <v>1</v>
      </c>
      <c r="M18" s="10" t="s">
        <v>6</v>
      </c>
      <c r="N18" s="10" t="s">
        <v>164</v>
      </c>
      <c r="O18" s="10" t="s">
        <v>165</v>
      </c>
      <c r="P18" s="10" t="s">
        <v>166</v>
      </c>
      <c r="U18" s="10">
        <v>8</v>
      </c>
      <c r="V18" s="10" t="s">
        <v>28</v>
      </c>
      <c r="W18" s="10">
        <f>GETPIVOTDATA(""&amp;V18,Pivot!$O$22)</f>
        <v>23362</v>
      </c>
      <c r="X18" s="10" t="str" cm="1">
        <f t="array" ref="X18">IFERROR(INDEX($V$11:$V$20,SMALL(IF($W$11:$W$20=Y18,ROW($W$11:$W$20)-ROW($W$11)+1),COUNTIF($Y$11:Y18,Y18))),"")</f>
        <v>Product 10</v>
      </c>
      <c r="Y18" s="10">
        <f t="shared" si="5"/>
        <v>26322</v>
      </c>
      <c r="Z18" s="10" t="str">
        <f t="shared" si="6"/>
        <v>Product 10</v>
      </c>
      <c r="AE18" s="10">
        <v>1</v>
      </c>
      <c r="AF18" s="10" t="s">
        <v>180</v>
      </c>
      <c r="AG18" s="10">
        <f>GETPIVOTDATA($AF18&amp;"-"&amp;LEFT(AG$17,1),Pivot!$K$39)</f>
        <v>15376</v>
      </c>
      <c r="AH18" s="10">
        <f>GETPIVOTDATA($AF18&amp;"-"&amp;LEFT(AH$17,1),Pivot!$K$39)</f>
        <v>13575</v>
      </c>
      <c r="AL18" s="10" t="str">
        <f>AH26</f>
        <v>Kitchen</v>
      </c>
      <c r="AM18" s="10">
        <f t="shared" ref="AM18:AN23" si="10">AI26</f>
        <v>15865</v>
      </c>
      <c r="AN18" s="10">
        <f t="shared" si="10"/>
        <v>15033</v>
      </c>
      <c r="AO18" s="19" cm="1">
        <f t="array" ref="AO18">MAX($AM$18:$AN$23*$AO$16-AP18)</f>
        <v>6809.3999999999978</v>
      </c>
      <c r="AP18" s="20">
        <f t="shared" ref="AP18:AP23" si="11">AI26</f>
        <v>15865</v>
      </c>
      <c r="AQ18" s="19">
        <f>MAX($AM$18:$AN$23)*$AS$16</f>
        <v>11337.199999999999</v>
      </c>
      <c r="AR18" s="20">
        <f t="shared" ref="AR18:AR22" si="12">AJ26</f>
        <v>15033</v>
      </c>
      <c r="AS18" s="19" cm="1">
        <f t="array" ref="AS18">MAX($AM$18:$AN$23*$AO$16-AR18)</f>
        <v>7641.3999999999978</v>
      </c>
    </row>
    <row r="19" spans="1:45" x14ac:dyDescent="0.25">
      <c r="L19" s="10" t="s">
        <v>136</v>
      </c>
      <c r="M19" s="10">
        <f>GETPIVOTDATA("Sum of Sales",Pivot!$K$3,"Name Month",""&amp;L19)</f>
        <v>846</v>
      </c>
      <c r="N19" s="10">
        <f>IFERROR(GETPIVOTDATA("Sum of Sales",Pivot!$K$20,"Name Month",""&amp;L19),NA())</f>
        <v>846</v>
      </c>
      <c r="O19" s="10">
        <f>GETPIVOTDATA("Sum of Costs",Pivot!$K$3,"Name Month",""&amp;L19)</f>
        <v>290</v>
      </c>
      <c r="P19" s="10">
        <f>IF(ISNA(N19),N19,M19)</f>
        <v>846</v>
      </c>
      <c r="U19" s="10">
        <v>9</v>
      </c>
      <c r="V19" s="10" t="s">
        <v>29</v>
      </c>
      <c r="W19" s="10">
        <f>GETPIVOTDATA(""&amp;V19,Pivot!$O$22)</f>
        <v>29292</v>
      </c>
      <c r="X19" s="10" t="str" cm="1">
        <f t="array" ref="X19">IFERROR(INDEX($V$11:$V$20,SMALL(IF($W$11:$W$20=Y19,ROW($W$11:$W$20)-ROW($W$11)+1),COUNTIF($Y$11:Y19,Y19))),"")</f>
        <v>Product 6</v>
      </c>
      <c r="Y19" s="10">
        <f t="shared" si="5"/>
        <v>25959</v>
      </c>
      <c r="Z19" s="10" t="str">
        <f t="shared" si="6"/>
        <v>Product 6</v>
      </c>
      <c r="AE19" s="10">
        <v>2</v>
      </c>
      <c r="AF19" s="10" t="s">
        <v>181</v>
      </c>
      <c r="AG19" s="10">
        <f>GETPIVOTDATA($AF19&amp;"-"&amp;LEFT(AG$17,1),Pivot!$K$39)</f>
        <v>15303</v>
      </c>
      <c r="AH19" s="10">
        <f>GETPIVOTDATA($AF19&amp;"-"&amp;LEFT(AH$17,1),Pivot!$K$39)</f>
        <v>14840</v>
      </c>
      <c r="AL19" s="10" t="str">
        <f t="shared" ref="AL19:AL23" si="13">AH27</f>
        <v>Bathroom</v>
      </c>
      <c r="AM19" s="10">
        <f t="shared" si="10"/>
        <v>15376</v>
      </c>
      <c r="AN19" s="10">
        <f t="shared" si="10"/>
        <v>13575</v>
      </c>
      <c r="AO19" s="19" cm="1">
        <f t="array" ref="AO19">MAX($AM$18:$AN$23*$AO$16-AP19)</f>
        <v>7298.3999999999978</v>
      </c>
      <c r="AP19" s="20">
        <f t="shared" si="11"/>
        <v>15376</v>
      </c>
      <c r="AQ19" s="19">
        <f t="shared" ref="AQ19:AQ23" si="14">MAX($AM$18:$AN$23)*$AS$16</f>
        <v>11337.199999999999</v>
      </c>
      <c r="AR19" s="20">
        <f t="shared" si="12"/>
        <v>13575</v>
      </c>
      <c r="AS19" s="19" cm="1">
        <f t="array" ref="AS19">MAX($AM$18:$AN$23*$AO$16-AR19)</f>
        <v>9099.3999999999978</v>
      </c>
    </row>
    <row r="20" spans="1:45" x14ac:dyDescent="0.25">
      <c r="L20" s="10" t="s">
        <v>137</v>
      </c>
      <c r="M20" s="10">
        <f>GETPIVOTDATA("Sum of Sales",Pivot!$K$3,"Name Month",""&amp;L20)</f>
        <v>738</v>
      </c>
      <c r="N20" s="10">
        <f>IFERROR(GETPIVOTDATA("Sum of Sales",Pivot!$K$20,"Name Month",""&amp;L20),NA())</f>
        <v>738</v>
      </c>
      <c r="O20" s="10">
        <f>GETPIVOTDATA("Sum of Costs",Pivot!$K$3,"Name Month",""&amp;L20)</f>
        <v>232</v>
      </c>
      <c r="P20" s="10">
        <f t="shared" ref="P20:P30" si="15">IF(ISNA(N20),N20,M20)</f>
        <v>738</v>
      </c>
      <c r="U20" s="10">
        <v>10</v>
      </c>
      <c r="V20" s="10" t="s">
        <v>30</v>
      </c>
      <c r="W20" s="10">
        <f>GETPIVOTDATA(""&amp;V20,Pivot!$O$22)</f>
        <v>26322</v>
      </c>
      <c r="X20" s="10" t="str" cm="1">
        <f t="array" ref="X20">IFERROR(INDEX($V$11:$V$20,SMALL(IF($W$11:$W$20=Y20,ROW($W$11:$W$20)-ROW($W$11)+1),COUNTIF($Y$11:Y20,Y20))),"")</f>
        <v>Product 8</v>
      </c>
      <c r="Y20" s="10">
        <f t="shared" si="5"/>
        <v>23362</v>
      </c>
      <c r="Z20" s="10" t="str">
        <f t="shared" si="6"/>
        <v>Product 8</v>
      </c>
      <c r="AE20" s="10">
        <v>3</v>
      </c>
      <c r="AF20" s="10" t="s">
        <v>182</v>
      </c>
      <c r="AG20" s="10">
        <f>GETPIVOTDATA($AF20&amp;"-"&amp;LEFT(AG$17,1),Pivot!$K$39)</f>
        <v>15865</v>
      </c>
      <c r="AH20" s="10">
        <f>GETPIVOTDATA($AF20&amp;"-"&amp;LEFT(AH$17,1),Pivot!$K$39)</f>
        <v>15033</v>
      </c>
      <c r="AL20" s="10" t="str">
        <f t="shared" si="13"/>
        <v>Bedroom</v>
      </c>
      <c r="AM20" s="10">
        <f t="shared" si="10"/>
        <v>15303</v>
      </c>
      <c r="AN20" s="10">
        <f t="shared" si="10"/>
        <v>14840</v>
      </c>
      <c r="AO20" s="19" cm="1">
        <f t="array" ref="AO20">MAX($AM$18:$AN$23*$AO$16-AP20)</f>
        <v>7371.3999999999978</v>
      </c>
      <c r="AP20" s="20">
        <f t="shared" si="11"/>
        <v>15303</v>
      </c>
      <c r="AQ20" s="19">
        <f t="shared" si="14"/>
        <v>11337.199999999999</v>
      </c>
      <c r="AR20" s="20">
        <f t="shared" si="12"/>
        <v>14840</v>
      </c>
      <c r="AS20" s="19" cm="1">
        <f t="array" ref="AS20">MAX($AM$18:$AN$23*$AO$16-AR20)</f>
        <v>7834.3999999999978</v>
      </c>
    </row>
    <row r="21" spans="1:45" x14ac:dyDescent="0.25">
      <c r="L21" s="10" t="s">
        <v>138</v>
      </c>
      <c r="M21" s="10">
        <f>GETPIVOTDATA("Sum of Sales",Pivot!$K$3,"Name Month",""&amp;L21)</f>
        <v>710</v>
      </c>
      <c r="N21" s="10">
        <f>IFERROR(GETPIVOTDATA("Sum of Sales",Pivot!$K$20,"Name Month",""&amp;L21),NA())</f>
        <v>710</v>
      </c>
      <c r="O21" s="10">
        <f>GETPIVOTDATA("Sum of Costs",Pivot!$K$3,"Name Month",""&amp;L21)</f>
        <v>198</v>
      </c>
      <c r="P21" s="10">
        <f t="shared" si="15"/>
        <v>710</v>
      </c>
      <c r="AE21" s="10">
        <v>4</v>
      </c>
      <c r="AF21" s="10" t="s">
        <v>183</v>
      </c>
      <c r="AG21" s="10">
        <f>GETPIVOTDATA($AF21&amp;"-"&amp;LEFT(AG$17,1),Pivot!$K$39)</f>
        <v>14686</v>
      </c>
      <c r="AH21" s="10">
        <f>GETPIVOTDATA($AF21&amp;"-"&amp;LEFT(AH$17,1),Pivot!$K$39)</f>
        <v>16196</v>
      </c>
      <c r="AL21" s="10" t="str">
        <f t="shared" si="13"/>
        <v>Living</v>
      </c>
      <c r="AM21" s="10">
        <f t="shared" si="10"/>
        <v>14686</v>
      </c>
      <c r="AN21" s="10">
        <f t="shared" si="10"/>
        <v>16196</v>
      </c>
      <c r="AO21" s="19" cm="1">
        <f t="array" ref="AO21">MAX($AM$18:$AN$23*$AO$16-AP21)</f>
        <v>7988.3999999999978</v>
      </c>
      <c r="AP21" s="20">
        <f t="shared" si="11"/>
        <v>14686</v>
      </c>
      <c r="AQ21" s="19">
        <f t="shared" si="14"/>
        <v>11337.199999999999</v>
      </c>
      <c r="AR21" s="20">
        <f t="shared" si="12"/>
        <v>16196</v>
      </c>
      <c r="AS21" s="19" cm="1">
        <f t="array" ref="AS21">MAX($AM$18:$AN$23*$AO$16-AR21)</f>
        <v>6478.3999999999978</v>
      </c>
    </row>
    <row r="22" spans="1:45" x14ac:dyDescent="0.25">
      <c r="L22" s="10" t="s">
        <v>139</v>
      </c>
      <c r="M22" s="10">
        <f>GETPIVOTDATA("Sum of Sales",Pivot!$K$3,"Name Month",""&amp;L22)</f>
        <v>549</v>
      </c>
      <c r="N22" s="10">
        <f>IFERROR(GETPIVOTDATA("Sum of Sales",Pivot!$K$20,"Name Month",""&amp;L22),NA())</f>
        <v>549</v>
      </c>
      <c r="O22" s="10">
        <f>GETPIVOTDATA("Sum of Costs",Pivot!$K$3,"Name Month",""&amp;L22)</f>
        <v>223</v>
      </c>
      <c r="P22" s="10">
        <f t="shared" si="15"/>
        <v>549</v>
      </c>
      <c r="V22" s="10" t="s">
        <v>199</v>
      </c>
      <c r="W22" s="10" t="s">
        <v>158</v>
      </c>
      <c r="X22" s="10" t="s">
        <v>166</v>
      </c>
      <c r="Y22" s="10">
        <v>1.3</v>
      </c>
      <c r="AE22" s="10">
        <v>5</v>
      </c>
      <c r="AF22" s="10" t="s">
        <v>184</v>
      </c>
      <c r="AG22" s="10">
        <f>GETPIVOTDATA($AF22&amp;"-"&amp;LEFT(AG$17,1),Pivot!$K$39)</f>
        <v>13453</v>
      </c>
      <c r="AH22" s="10">
        <f>GETPIVOTDATA($AF22&amp;"-"&amp;LEFT(AH$17,1),Pivot!$K$39)</f>
        <v>15026</v>
      </c>
      <c r="AL22" s="10" t="str">
        <f t="shared" si="13"/>
        <v>Decor</v>
      </c>
      <c r="AM22" s="10">
        <f t="shared" si="10"/>
        <v>14101</v>
      </c>
      <c r="AN22" s="10">
        <f t="shared" si="10"/>
        <v>14953</v>
      </c>
      <c r="AO22" s="19" cm="1">
        <f t="array" ref="AO22">MAX($AM$18:$AN$23*$AO$16-AP22)</f>
        <v>8573.3999999999978</v>
      </c>
      <c r="AP22" s="20">
        <f t="shared" si="11"/>
        <v>14101</v>
      </c>
      <c r="AQ22" s="19">
        <f t="shared" si="14"/>
        <v>11337.199999999999</v>
      </c>
      <c r="AR22" s="20">
        <f t="shared" si="12"/>
        <v>14953</v>
      </c>
      <c r="AS22" s="19" cm="1">
        <f t="array" ref="AS22">MAX($AM$18:$AN$23*$AO$16-AR22)</f>
        <v>7721.3999999999978</v>
      </c>
    </row>
    <row r="23" spans="1:45" x14ac:dyDescent="0.25">
      <c r="L23" s="10" t="s">
        <v>140</v>
      </c>
      <c r="M23" s="10">
        <f>GETPIVOTDATA("Sum of Sales",Pivot!$K$3,"Name Month",""&amp;L23)</f>
        <v>637</v>
      </c>
      <c r="N23" s="10">
        <f>IFERROR(GETPIVOTDATA("Sum of Sales",Pivot!$K$20,"Name Month",""&amp;L23),NA())</f>
        <v>637</v>
      </c>
      <c r="O23" s="10">
        <f>GETPIVOTDATA("Sum of Costs",Pivot!$K$3,"Name Month",""&amp;L23)</f>
        <v>218</v>
      </c>
      <c r="P23" s="10">
        <f t="shared" si="15"/>
        <v>637</v>
      </c>
      <c r="U23" s="10">
        <v>1</v>
      </c>
      <c r="V23" s="10" t="str">
        <f t="shared" ref="V23:W27" si="16">X11</f>
        <v>Product 3</v>
      </c>
      <c r="W23" s="18">
        <f t="shared" si="16"/>
        <v>44257</v>
      </c>
      <c r="X23" s="10">
        <f>$W$23*$Y$22-W23</f>
        <v>13277.099999999999</v>
      </c>
      <c r="AE23" s="10">
        <v>6</v>
      </c>
      <c r="AF23" s="10" t="s">
        <v>185</v>
      </c>
      <c r="AG23" s="10">
        <f>GETPIVOTDATA($AF23&amp;"-"&amp;LEFT(AG$17,1),Pivot!$K$39)</f>
        <v>14101</v>
      </c>
      <c r="AH23" s="10">
        <f>GETPIVOTDATA($AF23&amp;"-"&amp;LEFT(AH$17,1),Pivot!$K$39)</f>
        <v>14953</v>
      </c>
      <c r="AL23" s="10" t="str">
        <f t="shared" si="13"/>
        <v>Garden</v>
      </c>
      <c r="AM23" s="10">
        <f t="shared" si="10"/>
        <v>13453</v>
      </c>
      <c r="AN23" s="10">
        <f t="shared" si="10"/>
        <v>15026</v>
      </c>
      <c r="AO23" s="19" cm="1">
        <f t="array" ref="AO23">MAX($AM$18:$AN$23*$AO$16-AP23)</f>
        <v>9221.3999999999978</v>
      </c>
      <c r="AP23" s="20">
        <f t="shared" si="11"/>
        <v>13453</v>
      </c>
      <c r="AQ23" s="19">
        <f t="shared" si="14"/>
        <v>11337.199999999999</v>
      </c>
      <c r="AR23" s="20">
        <f>AJ31</f>
        <v>15026</v>
      </c>
      <c r="AS23" s="19" cm="1">
        <f t="array" ref="AS23">MAX($AM$18:$AN$23*$AO$16-AR23)</f>
        <v>7648.3999999999978</v>
      </c>
    </row>
    <row r="24" spans="1:45" x14ac:dyDescent="0.25">
      <c r="L24" s="10" t="s">
        <v>141</v>
      </c>
      <c r="M24" s="10">
        <f>GETPIVOTDATA("Sum of Sales",Pivot!$K$3,"Name Month",""&amp;L24)</f>
        <v>633</v>
      </c>
      <c r="N24" s="10">
        <f>IFERROR(GETPIVOTDATA("Sum of Sales",Pivot!$K$20,"Name Month",""&amp;L24),NA())</f>
        <v>633</v>
      </c>
      <c r="O24" s="10">
        <f>GETPIVOTDATA("Sum of Costs",Pivot!$K$3,"Name Month",""&amp;L24)</f>
        <v>247</v>
      </c>
      <c r="P24" s="10">
        <f t="shared" si="15"/>
        <v>633</v>
      </c>
      <c r="U24" s="10">
        <v>2</v>
      </c>
      <c r="V24" s="10" t="str">
        <f t="shared" si="16"/>
        <v>Product 7</v>
      </c>
      <c r="W24" s="18">
        <f t="shared" si="16"/>
        <v>33084</v>
      </c>
      <c r="X24" s="10">
        <f t="shared" ref="X24:X27" si="17">$W$23*$Y$22-W24</f>
        <v>24450.1</v>
      </c>
    </row>
    <row r="25" spans="1:45" x14ac:dyDescent="0.25">
      <c r="L25" s="10" t="s">
        <v>142</v>
      </c>
      <c r="M25" s="10">
        <f>GETPIVOTDATA("Sum of Sales",Pivot!$K$3,"Name Month",""&amp;L25)</f>
        <v>788</v>
      </c>
      <c r="N25" s="10">
        <f>IFERROR(GETPIVOTDATA("Sum of Sales",Pivot!$K$20,"Name Month",""&amp;L25),NA())</f>
        <v>788</v>
      </c>
      <c r="O25" s="10">
        <f>GETPIVOTDATA("Sum of Costs",Pivot!$K$3,"Name Month",""&amp;L25)</f>
        <v>215</v>
      </c>
      <c r="P25" s="10">
        <f t="shared" si="15"/>
        <v>788</v>
      </c>
      <c r="U25" s="10">
        <v>3</v>
      </c>
      <c r="V25" s="10" t="str">
        <f t="shared" si="16"/>
        <v>Product 2</v>
      </c>
      <c r="W25" s="18">
        <f t="shared" si="16"/>
        <v>30756</v>
      </c>
      <c r="X25" s="10">
        <f t="shared" si="17"/>
        <v>26778.1</v>
      </c>
      <c r="AE25" s="10" t="s">
        <v>203</v>
      </c>
      <c r="AI25" s="10" t="str">
        <f>AG17</f>
        <v>Sales</v>
      </c>
      <c r="AJ25" s="10" t="str">
        <f>AH17</f>
        <v>Inventory</v>
      </c>
      <c r="AL25" s="10" t="s">
        <v>204</v>
      </c>
      <c r="AP25" s="10" t="str">
        <f>AH17</f>
        <v>Inventory</v>
      </c>
      <c r="AQ25" s="10" t="str">
        <f>AG17</f>
        <v>Sales</v>
      </c>
    </row>
    <row r="26" spans="1:45" x14ac:dyDescent="0.25">
      <c r="L26" s="10" t="s">
        <v>143</v>
      </c>
      <c r="M26" s="10">
        <f>GETPIVOTDATA("Sum of Sales",Pivot!$K$3,"Name Month",""&amp;L26)</f>
        <v>759</v>
      </c>
      <c r="N26" s="10">
        <f>IFERROR(GETPIVOTDATA("Sum of Sales",Pivot!$K$20,"Name Month",""&amp;L26),NA())</f>
        <v>759</v>
      </c>
      <c r="O26" s="10">
        <f>GETPIVOTDATA("Sum of Costs",Pivot!$K$3,"Name Month",""&amp;L26)</f>
        <v>228</v>
      </c>
      <c r="P26" s="10">
        <f t="shared" si="15"/>
        <v>759</v>
      </c>
      <c r="U26" s="10">
        <v>4</v>
      </c>
      <c r="V26" s="10" t="str">
        <f t="shared" si="16"/>
        <v>Product 1</v>
      </c>
      <c r="W26" s="18">
        <f t="shared" si="16"/>
        <v>29833</v>
      </c>
      <c r="X26" s="10">
        <f t="shared" si="17"/>
        <v>27701.1</v>
      </c>
      <c r="AE26" s="10">
        <v>1</v>
      </c>
      <c r="AF26">
        <f>AG18</f>
        <v>15376</v>
      </c>
      <c r="AG26" t="str">
        <f>AF18</f>
        <v>Bathroom</v>
      </c>
      <c r="AH26" t="str" cm="1">
        <f t="array" ref="AH26">IFERROR(INDEX($AG$26:$AG$31,SMALL(IF($AF$26:$AF$31=AI26,ROW($AF$26:$AF$31)-ROW($AF$26)+1),COUNTIF($AI$26:AI26, AI26))),"")</f>
        <v>Kitchen</v>
      </c>
      <c r="AI26">
        <f>LARGE($AF$26:$AF$31,AE26)</f>
        <v>15865</v>
      </c>
      <c r="AJ26" s="10">
        <f>INDEX($AH$18:$AH$23,MATCH(AI26,$AG$18:$AG$23,0))</f>
        <v>15033</v>
      </c>
      <c r="AL26" s="10">
        <v>1</v>
      </c>
      <c r="AM26">
        <f>AH18</f>
        <v>13575</v>
      </c>
      <c r="AN26" t="str">
        <f>AF18</f>
        <v>Bathroom</v>
      </c>
      <c r="AO26" t="str" cm="1">
        <f t="array" ref="AO26">IFERROR(INDEX($AN$26:$AN$31,SMALL(IF($AM$26:$AM$31=AP26,ROW($AM$26:$AM$31)-ROW($AM$26)+1),COUNTIF($AP$26:AP26, AP26))),"")</f>
        <v>Living</v>
      </c>
      <c r="AP26">
        <f>LARGE($AM$26:$AM$31,AL26)</f>
        <v>16196</v>
      </c>
      <c r="AQ26" s="10">
        <f>INDEX($AG$18:$AG$23,MATCH(AP26,$AH$18:$AH$23,0))</f>
        <v>14686</v>
      </c>
    </row>
    <row r="27" spans="1:45" x14ac:dyDescent="0.25">
      <c r="L27" s="10" t="s">
        <v>144</v>
      </c>
      <c r="M27" s="10">
        <f>GETPIVOTDATA("Sum of Sales",Pivot!$K$3,"Name Month",""&amp;L27)</f>
        <v>851</v>
      </c>
      <c r="N27" s="10">
        <f>IFERROR(GETPIVOTDATA("Sum of Sales",Pivot!$K$20,"Name Month",""&amp;L27),NA())</f>
        <v>851</v>
      </c>
      <c r="O27" s="10">
        <f>GETPIVOTDATA("Sum of Costs",Pivot!$K$3,"Name Month",""&amp;L27)</f>
        <v>245</v>
      </c>
      <c r="P27" s="10">
        <f t="shared" si="15"/>
        <v>851</v>
      </c>
      <c r="U27" s="10">
        <v>5</v>
      </c>
      <c r="V27" s="10" t="str">
        <f t="shared" si="16"/>
        <v>Product 9</v>
      </c>
      <c r="W27" s="18">
        <f t="shared" si="16"/>
        <v>29292</v>
      </c>
      <c r="X27" s="10">
        <f t="shared" si="17"/>
        <v>28242.1</v>
      </c>
      <c r="AE27" s="10">
        <v>2</v>
      </c>
      <c r="AF27">
        <f t="shared" ref="AF27:AF31" si="18">AG19</f>
        <v>15303</v>
      </c>
      <c r="AG27" t="str">
        <f t="shared" ref="AG27:AG31" si="19">AF19</f>
        <v>Bedroom</v>
      </c>
      <c r="AH27" t="str" cm="1">
        <f t="array" ref="AH27">IFERROR(INDEX($AG$26:$AG$31,SMALL(IF($AF$26:$AF$31=AI27,ROW($AF$26:$AF$31)-ROW($AF$26)+1),COUNTIF($AI$26:AI27, AI27))),"")</f>
        <v>Bathroom</v>
      </c>
      <c r="AI27">
        <f t="shared" ref="AI27:AI31" si="20">LARGE($AF$26:$AF$31,AE27)</f>
        <v>15376</v>
      </c>
      <c r="AJ27" s="10">
        <f t="shared" ref="AJ27:AJ31" si="21">INDEX($AH$18:$AH$23,MATCH(AI27,$AG$18:$AG$23,0))</f>
        <v>13575</v>
      </c>
      <c r="AL27" s="10">
        <v>2</v>
      </c>
      <c r="AM27">
        <f t="shared" ref="AM27:AM31" si="22">AH19</f>
        <v>14840</v>
      </c>
      <c r="AN27" t="str">
        <f t="shared" ref="AN27:AN31" si="23">AF19</f>
        <v>Bedroom</v>
      </c>
      <c r="AO27" t="str" cm="1">
        <f t="array" ref="AO27">IFERROR(INDEX($AN$26:$AN$31,SMALL(IF($AM$26:$AM$31=AP27,ROW($AM$26:$AM$31)-ROW($AM$26)+1),COUNTIF($AP$26:AP27, AP27))),"")</f>
        <v>Kitchen</v>
      </c>
      <c r="AP27">
        <f t="shared" ref="AP27:AP31" si="24">LARGE($AM$26:$AM$31,AL27)</f>
        <v>15033</v>
      </c>
      <c r="AQ27" s="10">
        <f t="shared" ref="AQ27:AQ31" si="25">INDEX($AG$18:$AG$23,MATCH(AP27,$AH$18:$AH$23,0))</f>
        <v>15865</v>
      </c>
    </row>
    <row r="28" spans="1:45" x14ac:dyDescent="0.25">
      <c r="L28" s="10" t="s">
        <v>145</v>
      </c>
      <c r="M28" s="10">
        <f>GETPIVOTDATA("Sum of Sales",Pivot!$K$3,"Name Month",""&amp;L28)</f>
        <v>1011</v>
      </c>
      <c r="N28" s="10">
        <f>IFERROR(GETPIVOTDATA("Sum of Sales",Pivot!$K$20,"Name Month",""&amp;L28),NA())</f>
        <v>1011</v>
      </c>
      <c r="O28" s="10">
        <f>GETPIVOTDATA("Sum of Costs",Pivot!$K$3,"Name Month",""&amp;L28)</f>
        <v>233</v>
      </c>
      <c r="P28" s="10">
        <f t="shared" si="15"/>
        <v>1011</v>
      </c>
      <c r="AE28" s="10">
        <v>3</v>
      </c>
      <c r="AF28">
        <f t="shared" si="18"/>
        <v>15865</v>
      </c>
      <c r="AG28" t="str">
        <f t="shared" si="19"/>
        <v>Kitchen</v>
      </c>
      <c r="AH28" t="str" cm="1">
        <f t="array" ref="AH28">IFERROR(INDEX($AG$26:$AG$31,SMALL(IF($AF$26:$AF$31=AI28,ROW($AF$26:$AF$31)-ROW($AF$26)+1),COUNTIF($AI$26:AI28, AI28))),"")</f>
        <v>Bedroom</v>
      </c>
      <c r="AI28">
        <f t="shared" si="20"/>
        <v>15303</v>
      </c>
      <c r="AJ28" s="10">
        <f t="shared" si="21"/>
        <v>14840</v>
      </c>
      <c r="AL28" s="10">
        <v>3</v>
      </c>
      <c r="AM28">
        <f t="shared" si="22"/>
        <v>15033</v>
      </c>
      <c r="AN28" t="str">
        <f t="shared" si="23"/>
        <v>Kitchen</v>
      </c>
      <c r="AO28" t="str" cm="1">
        <f t="array" ref="AO28">IFERROR(INDEX($AN$26:$AN$31,SMALL(IF($AM$26:$AM$31=AP28,ROW($AM$26:$AM$31)-ROW($AM$26)+1),COUNTIF($AP$26:AP28, AP28))),"")</f>
        <v>Garden</v>
      </c>
      <c r="AP28">
        <f t="shared" si="24"/>
        <v>15026</v>
      </c>
      <c r="AQ28" s="10">
        <f t="shared" si="25"/>
        <v>13453</v>
      </c>
    </row>
    <row r="29" spans="1:45" x14ac:dyDescent="0.25">
      <c r="L29" s="10" t="s">
        <v>146</v>
      </c>
      <c r="M29" s="10">
        <f>GETPIVOTDATA("Sum of Sales",Pivot!$K$3,"Name Month",""&amp;L29)</f>
        <v>816</v>
      </c>
      <c r="N29" s="10">
        <f>IFERROR(GETPIVOTDATA("Sum of Sales",Pivot!$K$20,"Name Month",""&amp;L29),NA())</f>
        <v>816</v>
      </c>
      <c r="O29" s="10">
        <f>GETPIVOTDATA("Sum of Costs",Pivot!$K$3,"Name Month",""&amp;L29)</f>
        <v>282</v>
      </c>
      <c r="P29" s="10">
        <f t="shared" si="15"/>
        <v>816</v>
      </c>
      <c r="AE29" s="10">
        <v>4</v>
      </c>
      <c r="AF29">
        <f t="shared" si="18"/>
        <v>14686</v>
      </c>
      <c r="AG29" t="str">
        <f t="shared" si="19"/>
        <v>Living</v>
      </c>
      <c r="AH29" t="str" cm="1">
        <f t="array" ref="AH29">IFERROR(INDEX($AG$26:$AG$31,SMALL(IF($AF$26:$AF$31=AI29,ROW($AF$26:$AF$31)-ROW($AF$26)+1),COUNTIF($AI$26:AI29, AI29))),"")</f>
        <v>Living</v>
      </c>
      <c r="AI29">
        <f t="shared" si="20"/>
        <v>14686</v>
      </c>
      <c r="AJ29" s="10">
        <f t="shared" si="21"/>
        <v>16196</v>
      </c>
      <c r="AL29" s="10">
        <v>4</v>
      </c>
      <c r="AM29">
        <f t="shared" si="22"/>
        <v>16196</v>
      </c>
      <c r="AN29" t="str">
        <f t="shared" si="23"/>
        <v>Living</v>
      </c>
      <c r="AO29" t="str" cm="1">
        <f t="array" ref="AO29">IFERROR(INDEX($AN$26:$AN$31,SMALL(IF($AM$26:$AM$31=AP29,ROW($AM$26:$AM$31)-ROW($AM$26)+1),COUNTIF($AP$26:AP29, AP29))),"")</f>
        <v>Decor</v>
      </c>
      <c r="AP29">
        <f t="shared" si="24"/>
        <v>14953</v>
      </c>
      <c r="AQ29" s="10">
        <f t="shared" si="25"/>
        <v>14101</v>
      </c>
    </row>
    <row r="30" spans="1:45" x14ac:dyDescent="0.25">
      <c r="L30" s="10" t="s">
        <v>147</v>
      </c>
      <c r="M30" s="10">
        <f>GETPIVOTDATA("Sum of Sales",Pivot!$K$3,"Name Month",""&amp;L30)</f>
        <v>586</v>
      </c>
      <c r="N30" s="10">
        <f>IFERROR(GETPIVOTDATA("Sum of Sales",Pivot!$K$20,"Name Month",""&amp;L30),NA())</f>
        <v>586</v>
      </c>
      <c r="O30" s="10">
        <f>GETPIVOTDATA("Sum of Costs",Pivot!$K$3,"Name Month",""&amp;L30)</f>
        <v>291</v>
      </c>
      <c r="P30" s="10">
        <f t="shared" si="15"/>
        <v>586</v>
      </c>
      <c r="AE30" s="10">
        <v>5</v>
      </c>
      <c r="AF30">
        <f t="shared" si="18"/>
        <v>13453</v>
      </c>
      <c r="AG30" t="str">
        <f t="shared" si="19"/>
        <v>Garden</v>
      </c>
      <c r="AH30" t="str" cm="1">
        <f t="array" ref="AH30">IFERROR(INDEX($AG$26:$AG$31,SMALL(IF($AF$26:$AF$31=AI30,ROW($AF$26:$AF$31)-ROW($AF$26)+1),COUNTIF($AI$26:AI30, AI30))),"")</f>
        <v>Decor</v>
      </c>
      <c r="AI30">
        <f t="shared" si="20"/>
        <v>14101</v>
      </c>
      <c r="AJ30" s="10">
        <f t="shared" si="21"/>
        <v>14953</v>
      </c>
      <c r="AL30" s="10">
        <v>5</v>
      </c>
      <c r="AM30">
        <f t="shared" si="22"/>
        <v>15026</v>
      </c>
      <c r="AN30" t="str">
        <f t="shared" si="23"/>
        <v>Garden</v>
      </c>
      <c r="AO30" t="str" cm="1">
        <f t="array" ref="AO30">IFERROR(INDEX($AN$26:$AN$31,SMALL(IF($AM$26:$AM$31=AP30,ROW($AM$26:$AM$31)-ROW($AM$26)+1),COUNTIF($AP$26:AP30, AP30))),"")</f>
        <v>Bedroom</v>
      </c>
      <c r="AP30">
        <f t="shared" si="24"/>
        <v>14840</v>
      </c>
      <c r="AQ30" s="10">
        <f t="shared" si="25"/>
        <v>15303</v>
      </c>
    </row>
    <row r="31" spans="1:45" x14ac:dyDescent="0.25">
      <c r="N31" s="18" cm="1">
        <f t="array" ref="N31">SUM(IFERROR(N19:N30,0))</f>
        <v>8924</v>
      </c>
      <c r="O31" s="18" cm="1">
        <f t="array" ref="O31">SUM(IFERROR(O19:O30,0))</f>
        <v>2902</v>
      </c>
      <c r="AE31" s="10">
        <v>6</v>
      </c>
      <c r="AF31">
        <f t="shared" si="18"/>
        <v>14101</v>
      </c>
      <c r="AG31" t="str">
        <f t="shared" si="19"/>
        <v>Decor</v>
      </c>
      <c r="AH31" t="str" cm="1">
        <f t="array" ref="AH31">IFERROR(INDEX($AG$26:$AG$31,SMALL(IF($AF$26:$AF$31=AI31,ROW($AF$26:$AF$31)-ROW($AF$26)+1),COUNTIF($AI$26:AI31, AI31))),"")</f>
        <v>Garden</v>
      </c>
      <c r="AI31">
        <f t="shared" si="20"/>
        <v>13453</v>
      </c>
      <c r="AJ31" s="10">
        <f t="shared" si="21"/>
        <v>15026</v>
      </c>
      <c r="AL31" s="10">
        <v>6</v>
      </c>
      <c r="AM31">
        <f t="shared" si="22"/>
        <v>14953</v>
      </c>
      <c r="AN31" t="str">
        <f t="shared" si="23"/>
        <v>Decor</v>
      </c>
      <c r="AO31" t="str" cm="1">
        <f t="array" ref="AO31">IFERROR(INDEX($AN$26:$AN$31,SMALL(IF($AM$26:$AM$31=AP31,ROW($AM$26:$AM$31)-ROW($AM$26)+1),COUNTIF($AP$26:AP31, AP31))),"")</f>
        <v>Bathroom</v>
      </c>
      <c r="AP31">
        <f t="shared" si="24"/>
        <v>13575</v>
      </c>
      <c r="AQ31" s="10">
        <f t="shared" si="25"/>
        <v>15376</v>
      </c>
    </row>
    <row r="32" spans="1:45" x14ac:dyDescent="0.25">
      <c r="AE32"/>
      <c r="AF32"/>
      <c r="AG32"/>
      <c r="AH32"/>
      <c r="AI32"/>
    </row>
  </sheetData>
  <mergeCells count="2">
    <mergeCell ref="B1:D1"/>
    <mergeCell ref="L1:M1"/>
  </mergeCells>
  <phoneticPr fontId="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4" r:id="rId3" name="Check Box 8">
              <controlPr defaultSize="0" autoFill="0" autoLine="0" autoPict="0">
                <anchor moveWithCells="1">
                  <from>
                    <xdr:col>24</xdr:col>
                    <xdr:colOff>66675</xdr:colOff>
                    <xdr:row>1</xdr:row>
                    <xdr:rowOff>171450</xdr:rowOff>
                  </from>
                  <to>
                    <xdr:col>25</xdr:col>
                    <xdr:colOff>552450</xdr:colOff>
                    <xdr:row>3</xdr:row>
                    <xdr:rowOff>9525</xdr:rowOff>
                  </to>
                </anchor>
              </controlPr>
            </control>
          </mc:Choice>
        </mc:AlternateContent>
        <mc:AlternateContent xmlns:mc="http://schemas.openxmlformats.org/markup-compatibility/2006">
          <mc:Choice Requires="x14">
            <control shapeId="4105" r:id="rId4" name="Check Box 9">
              <controlPr defaultSize="0" autoFill="0" autoLine="0" autoPict="0">
                <anchor moveWithCells="1">
                  <from>
                    <xdr:col>24</xdr:col>
                    <xdr:colOff>104775</xdr:colOff>
                    <xdr:row>4</xdr:row>
                    <xdr:rowOff>9525</xdr:rowOff>
                  </from>
                  <to>
                    <xdr:col>25</xdr:col>
                    <xdr:colOff>542925</xdr:colOff>
                    <xdr:row>5</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1CE1C-C96C-4BC3-8866-0779776520AA}">
  <dimension ref="A28"/>
  <sheetViews>
    <sheetView showGridLines="0" tabSelected="1" zoomScale="50" zoomScaleNormal="50" workbookViewId="0">
      <selection activeCell="AE20" sqref="AE20"/>
    </sheetView>
  </sheetViews>
  <sheetFormatPr defaultRowHeight="15" x14ac:dyDescent="0.25"/>
  <sheetData>
    <row r="28" spans="1:1" x14ac:dyDescent="0.25">
      <c r="A28" t="s">
        <v>201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vt:lpstr>
      <vt:lpstr>Process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Seeni</dc:creator>
  <cp:lastModifiedBy>Seeni</cp:lastModifiedBy>
  <cp:lastPrinted>2025-11-16T11:47:49Z</cp:lastPrinted>
  <dcterms:created xsi:type="dcterms:W3CDTF">2025-11-07T07:07:22Z</dcterms:created>
  <dcterms:modified xsi:type="dcterms:W3CDTF">2025-11-17T16:47:34Z</dcterms:modified>
</cp:coreProperties>
</file>